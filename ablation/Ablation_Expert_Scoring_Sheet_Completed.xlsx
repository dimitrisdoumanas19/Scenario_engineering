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mc:AlternateContent xmlns:mc="http://schemas.openxmlformats.org/markup-compatibility/2006">
    <mc:Choice Requires="x15">
      <x15ac:absPath xmlns:x15ac="http://schemas.microsoft.com/office/spreadsheetml/2010/11/ac" url="/Users/dimitrisdoumanas/Desktop/ablation/"/>
    </mc:Choice>
  </mc:AlternateContent>
  <xr:revisionPtr revIDLastSave="0" documentId="13_ncr:1_{FC7C9F98-6A64-FD49-AE10-DD2B308A3A8E}" xr6:coauthVersionLast="47" xr6:coauthVersionMax="47" xr10:uidLastSave="{00000000-0000-0000-0000-000000000000}"/>
  <bookViews>
    <workbookView xWindow="0" yWindow="760" windowWidth="29400" windowHeight="17260" activeTab="2" xr2:uid="{00000000-000D-0000-FFFF-FFFF00000000}"/>
  </bookViews>
  <sheets>
    <sheet name="Instructions" sheetId="1" r:id="rId1"/>
    <sheet name="Rubric" sheetId="2" r:id="rId2"/>
    <sheet name="Score entry" sheetId="3" r:id="rId3"/>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3" i="3" l="1"/>
  <c r="K13" i="3"/>
  <c r="G13" i="3"/>
  <c r="O12" i="3"/>
  <c r="K12" i="3"/>
  <c r="G12" i="3"/>
  <c r="O11" i="3"/>
  <c r="K11" i="3"/>
  <c r="G11" i="3"/>
  <c r="O10" i="3"/>
  <c r="K10" i="3"/>
  <c r="G10" i="3"/>
  <c r="O9" i="3"/>
  <c r="K9" i="3"/>
  <c r="G9" i="3"/>
  <c r="O8" i="3"/>
  <c r="K8" i="3"/>
  <c r="G8" i="3"/>
  <c r="O7" i="3"/>
  <c r="K7" i="3"/>
  <c r="G7" i="3"/>
  <c r="O6" i="3"/>
  <c r="K6" i="3"/>
  <c r="G6" i="3"/>
  <c r="O5" i="3"/>
  <c r="K5" i="3"/>
  <c r="G5" i="3"/>
  <c r="O4" i="3"/>
  <c r="K4" i="3"/>
  <c r="G4" i="3"/>
  <c r="O3" i="3"/>
  <c r="K3" i="3"/>
  <c r="G3" i="3"/>
  <c r="O2" i="3"/>
  <c r="K2" i="3"/>
  <c r="G2" i="3"/>
</calcChain>
</file>

<file path=xl/sharedStrings.xml><?xml version="1.0" encoding="utf-8"?>
<sst xmlns="http://schemas.openxmlformats.org/spreadsheetml/2006/main" count="106" uniqueCount="82">
  <si>
    <t>SEGNAR Ablation — Expert Scoring Sheet (No-KG condition)</t>
  </si>
  <si>
    <t>What you are scoring: 6 scenarios generated WITHOUT the knowledge graph, using the same LLM and template.</t>
  </si>
  <si>
    <t>Use the SAME six-dimension, 100-point rubric you applied to the original scenarios.</t>
  </si>
  <si>
    <t>Pre-registered rule for this condition (important):</t>
  </si>
  <si>
    <t>These scenarios invent their own entity IDs, quantities and Cypher. Score D2/D3/D4 on the scenario as written —</t>
  </si>
  <si>
    <t>its pedagogical design, realism and cognitive complexity — regardless of whether the numbers are graph-verifiable.</t>
  </si>
  <si>
    <t>Do not penalise twice for missing grounding (that is captured by D1). Judge the narrative on its own merits.</t>
  </si>
  <si>
    <t>Enter scores in the YELLOW cells on the 'Score entry' sheet. Definitions are on the 'Rubric' sheet.</t>
  </si>
  <si>
    <t>Two evaluators should score at least 2 of the 6 scenarios independently so we can report inter-rater reliability (ICC).</t>
  </si>
  <si>
    <t>Dimension / subdimension</t>
  </si>
  <si>
    <t>Max</t>
  </si>
  <si>
    <t>What to assess</t>
  </si>
  <si>
    <t>D2 Pedagogical Quality</t>
  </si>
  <si>
    <t>25</t>
  </si>
  <si>
    <t xml:space="preserve">  2.1 Learning Objective Clarity</t>
  </si>
  <si>
    <t>5</t>
  </si>
  <si>
    <t>Are objectives explicit and measurable, using action verbs? Penalise vague aims like 'manage resources effectively'.</t>
  </si>
  <si>
    <t xml:space="preserve">  2.2 Decision Point Quality</t>
  </si>
  <si>
    <t>10</t>
  </si>
  <si>
    <t>Option count (target 3), explicitness of trade-offs, articulation of second-order effects, and how well options are grounded in the scenario's own stated entities/quantities.</t>
  </si>
  <si>
    <t xml:space="preserve">  2.3 Debrief Question Quality</t>
  </si>
  <si>
    <t>Cognitive depth across Bloom's levels (Recall/Comprehension/Application/Analysis). Reward balanced coverage.</t>
  </si>
  <si>
    <t xml:space="preserve">  2.4 Cognitive Scaffolding</t>
  </si>
  <si>
    <t>Facilitator support: timing estimates, typical learner pitfalls, pivot opportunities for strugglers, stretch challenges for advanced learners.</t>
  </si>
  <si>
    <t>D3 Operational Realism &amp; Domain Authenticity</t>
  </si>
  <si>
    <t>20</t>
  </si>
  <si>
    <t xml:space="preserve">  3.1 Domain Plausibility</t>
  </si>
  <si>
    <t>Six-factor judgement: actor roles, resource requirements, timelines, risk severities, constraints, event causality — could this occur in real operations?</t>
  </si>
  <si>
    <t xml:space="preserve">  3.2 Constraint Authenticity</t>
  </si>
  <si>
    <t>Realism of temporal, resource, regulatory and policy constraints for the domain.</t>
  </si>
  <si>
    <t xml:space="preserve">  3.3 Failure Mode Representation</t>
  </si>
  <si>
    <t>Presence and authenticity of domain-specific failure modes.</t>
  </si>
  <si>
    <t>D4 Decision Complexity &amp; Cognitive Load</t>
  </si>
  <si>
    <t>15</t>
  </si>
  <si>
    <t xml:space="preserve">  4.1 Goal Conflict Intensity</t>
  </si>
  <si>
    <t>Number and quantification of goal conflicts; are competing objectives explicit and non-trivial?</t>
  </si>
  <si>
    <t xml:space="preserve">  4.2 Resource Scarcity &amp; Trade-offs</t>
  </si>
  <si>
    <t>Explicit shortfall reasoning and competing demands on scarce resources.</t>
  </si>
  <si>
    <t xml:space="preserve">  4.3 Cascading Risk Chains</t>
  </si>
  <si>
    <t>Depth of multi-hop causal chains (with probabilities/time delays where applicable).</t>
  </si>
  <si>
    <t>2</t>
  </si>
  <si>
    <t>Specificity of timing, pitfalls, and intervention guidance in facilitator notes. (D6.1 query executability already scored objectively.)</t>
  </si>
  <si>
    <t>Scenario</t>
  </si>
  <si>
    <t>Evaluator</t>
  </si>
  <si>
    <t>2.1 /5</t>
  </si>
  <si>
    <t>2.2 /10</t>
  </si>
  <si>
    <t>2.3 /5</t>
  </si>
  <si>
    <t>2.4 /5</t>
  </si>
  <si>
    <t>D2 /25</t>
  </si>
  <si>
    <t>3.1 /10</t>
  </si>
  <si>
    <t>3.2 /5</t>
  </si>
  <si>
    <t>3.3 /5</t>
  </si>
  <si>
    <t>D3 /20</t>
  </si>
  <si>
    <t>4.1 /5</t>
  </si>
  <si>
    <t>4.2 /5</t>
  </si>
  <si>
    <t>4.3 /5</t>
  </si>
  <si>
    <t>D4 /15</t>
  </si>
  <si>
    <t>Comments</t>
  </si>
  <si>
    <t>NoKG-SAR-T1</t>
  </si>
  <si>
    <t>Eval A</t>
  </si>
  <si>
    <t>Strong speed–safety dilemma, plausible ICS roles, and useful second-order effects. Objectives are clear but not stated as measurable outcomes; aviation thresholds are simplified, and facilitator notes lack timed injects or intervention guidance.</t>
  </si>
  <si>
    <t>Eval B</t>
  </si>
  <si>
    <t>Operationally credible and cognitively demanding, with explicit scarcity and rescuer-risk cascades. Some assumptions are over-simplified, and the facilitator support identifies pitfalls without concrete pivots or stretch prompts.</t>
  </si>
  <si>
    <t>NoKG-SAR-T3</t>
  </si>
  <si>
    <t>Clear resource-depletion objective and meaningful fuel-versus-certainty choices. Extraction feasibility, aviation reserve requirements, and terrain variability are underdeveloped; causal chains and facilitator interventions remain shallow.</t>
  </si>
  <si>
    <t>Good time/fuel scarcity and three-option decision design. The scenario is plausible but omits several operational contingencies, and the facilitator notes provide only a general warning rather than specific timing or recovery actions.</t>
  </si>
  <si>
    <t>NoKG-BS-T1</t>
  </si>
  <si>
    <t>Strong uncertainty, intelligence-protection tension, and time-critical asset retasking. Jurisdiction, intelligence-sharing procedures, and inter-agency authority are simplified; facilitator notes lack timed injects and intervention steps.</t>
  </si>
  <si>
    <t>The converging weak signals and source-protection dilemma create a useful decision exercise. Operational roles and sanitized dissemination need greater specificity, while risk chains are mostly qualitative and facilitator guidance is limited.</t>
  </si>
  <si>
    <t>NoKG-BS-T3</t>
  </si>
  <si>
    <t>Excellent numerical scarcity and prioritization pressure, with clear decoy trade-offs. Domain realism is weakened by using boats as the primary response to airborne drones and by omitting counter-UAS, airspace, and legal constraints.</t>
  </si>
  <si>
    <t>The resource-allocation problem is easy to facilitate and cognitively useful. However, the interception concept is only partly authentic, failure modes are generic, and the facilitator notes do not specify inject timing or corrective interventions.</t>
  </si>
  <si>
    <t>NoKG-NEG-T1</t>
  </si>
  <si>
    <t>Rich package bargaining, BATNA pressure, and commitment-timing dilemmas. A major quantitative inconsistency reduces realism: at €3.2M per 1%, a 6% wage increase already exceeds the €14M headroom before bonuses; facilitator guidance is still limited.</t>
  </si>
  <si>
    <t>Strong negotiation structure, media pressure, and multi-goal trade-offs. The cost assumptions make several packages infeasible as described, and the learning objectives are implicit; notes identify pitfalls but not specific facilitator interventions.</t>
  </si>
  <si>
    <t>NoKG-NEG-T3</t>
  </si>
  <si>
    <t>Very strong timed decisions, fatigue/comms depletion, and multi-hop escalation logic. Some behavioral degradation rates and authority rules are over-precise or simplified, while facilitator notes need explicit injects, handoff prompts, and recovery actions.</t>
  </si>
  <si>
    <t>High-quality cognitive-load scenario with clear resource substitution and credible escalation pathways. A few operational parameters are synthetic, and facilitator actionability is incomplete despite good identification of timing and common errors.</t>
  </si>
  <si>
    <t>Only enter the four dimensions that require human judgement: D2, D3, D4, and D6</t>
  </si>
  <si>
    <t>D6 Facilitator Support</t>
  </si>
  <si>
    <t>D6 /2</t>
  </si>
  <si>
    <t>After entering D2, D3, D4, D6 here, transfer the per-scenario values into the main Ablation_Scoring_Workbook (NoKG_Scores). D1=~0, D5=5 from the executed query test are already known.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</si>
</sst>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2" formatCode="_-* #,##0\ &quot;€&quot;_-;\-* #,##0\ &quot;€&quot;_-;_-* &quot;-&quot;\ &quot;€&quot;_-;_-@_-"/>
    <numFmt numFmtId="41" formatCode="_-* #,##0_-;\-* #,##0_-;_-* &quot;-&quot;_-;_-@_-"/>
    <numFmt numFmtId="44" formatCode="_-* #,##0.00\ &quot;€&quot;_-;\-* #,##0.00\ &quot;€&quot;_-;_-* &quot;-&quot;??\ &quot;€&quot;_-;_-@_-"/>
    <numFmt numFmtId="43" formatCode="_-* #,##0.00_-;\-* #,##0.00_-;_-* &quot;-&quot;??_-;_-@_-"/>
    <numFmt numFmtId="164" formatCode="0.0"/>
  </numFmts>
  <fonts count="9" x14ac:knownFonts="1">
    <font>
      <sz val="11"/>
      <color theme="1"/>
      <name val="Calibri"/>
    </font>
    <font>
      <sz val="10"/>
      <name val="Arial"/>
      <family val="2"/>
    </font>
    <font>
      <b/>
      <sz val="11"/>
      <name val="Arial"/>
      <family val="2"/>
    </font>
    <font>
      <sz val="11"/>
      <name val="Arial"/>
      <family val="2"/>
    </font>
    <font>
      <b/>
      <sz val="11"/>
      <color rgb="FFFFFFFF"/>
      <name val="Arial"/>
      <family val="2"/>
    </font>
    <font>
      <sz val="11"/>
      <color rgb="FF0000FF"/>
      <name val="Arial"/>
      <family val="2"/>
    </font>
    <font>
      <i/>
      <sz val="10"/>
      <name val="Arial"/>
      <family val="2"/>
    </font>
    <font>
      <sz val="10"/>
      <color rgb="FF0000FF"/>
      <name val="Arial"/>
      <family val="2"/>
    </font>
    <font>
      <sz val="11"/>
      <color theme="1"/>
      <name val="Calibri"/>
      <family val="2"/>
    </font>
  </fonts>
  <fills count="4">
    <fill>
      <patternFill patternType="none"/>
    </fill>
    <fill>
      <patternFill patternType="gray125"/>
    </fill>
    <fill>
      <patternFill patternType="solid">
        <fgColor rgb="FF1F4E79"/>
      </patternFill>
    </fill>
    <fill>
      <patternFill patternType="solid">
        <fgColor rgb="FFFFFF00"/>
      </patternFill>
    </fill>
  </fills>
  <borders count="2">
    <border>
      <left/>
      <right/>
      <top/>
      <bottom/>
      <diagonal/>
    </border>
    <border>
      <left style="thin">
        <color auto="1"/>
      </left>
      <right style="thin">
        <color auto="1"/>
      </right>
      <top style="thin">
        <color auto="1"/>
      </top>
      <bottom style="thin">
        <color auto="1"/>
      </bottom>
      <diagonal/>
    </border>
  </borders>
  <cellStyleXfs count="7">
    <xf numFmtId="0" fontId="0" fillId="0" borderId="0"/>
    <xf numFmtId="43" fontId="1" fillId="0" borderId="0" applyBorder="0" applyAlignment="0" applyProtection="0"/>
    <xf numFmtId="41" fontId="1" fillId="0" borderId="0" applyBorder="0" applyAlignment="0" applyProtection="0"/>
    <xf numFmtId="44" fontId="1" fillId="0" borderId="0" applyBorder="0" applyAlignment="0" applyProtection="0"/>
    <xf numFmtId="42" fontId="1" fillId="0" borderId="0" applyBorder="0" applyAlignment="0" applyProtection="0"/>
    <xf numFmtId="9" fontId="1" fillId="0" borderId="0" applyBorder="0" applyAlignment="0" applyProtection="0"/>
    <xf numFmtId="0" fontId="8" fillId="0" borderId="0"/>
  </cellStyleXfs>
  <cellXfs count="11">
    <xf numFmtId="0" fontId="0" fillId="0" borderId="0" xfId="0"/>
    <xf numFmtId="0" fontId="2" fillId="0" borderId="0" xfId="6" applyFont="1"/>
    <xf numFmtId="0" fontId="3" fillId="0" borderId="0" xfId="6" applyFont="1"/>
    <xf numFmtId="0" fontId="4" fillId="2" borderId="1" xfId="6" applyFont="1" applyFill="1" applyBorder="1" applyAlignment="1">
      <alignment vertical="top" wrapText="1"/>
    </xf>
    <xf numFmtId="0" fontId="2" fillId="0" borderId="1" xfId="6" applyFont="1" applyBorder="1" applyAlignment="1">
      <alignment vertical="top" wrapText="1"/>
    </xf>
    <xf numFmtId="0" fontId="3" fillId="0" borderId="1" xfId="6" applyFont="1" applyBorder="1" applyAlignment="1">
      <alignment vertical="top" wrapText="1"/>
    </xf>
    <xf numFmtId="0" fontId="6" fillId="0" borderId="0" xfId="6" applyFont="1"/>
    <xf numFmtId="0" fontId="5" fillId="3" borderId="1" xfId="6" applyFont="1" applyFill="1" applyBorder="1" applyAlignment="1">
      <alignment horizontal="center" vertical="center"/>
    </xf>
    <xf numFmtId="0" fontId="2" fillId="0" borderId="0" xfId="6" applyFont="1" applyAlignment="1">
      <alignment horizontal="center" vertical="center"/>
    </xf>
    <xf numFmtId="164" fontId="5" fillId="3" borderId="1" xfId="6" applyNumberFormat="1" applyFont="1" applyFill="1" applyBorder="1" applyAlignment="1">
      <alignment horizontal="center" vertical="center"/>
    </xf>
    <xf numFmtId="0" fontId="7" fillId="3" borderId="1" xfId="6" applyFont="1" applyFill="1" applyBorder="1" applyAlignment="1">
      <alignment vertical="top" wrapText="1"/>
    </xf>
  </cellXfs>
  <cellStyles count="7">
    <cellStyle name="Κανονικό" xfId="0" builtinId="0"/>
    <cellStyle name="Comma" xfId="1" xr:uid="{00000000-0005-0000-0000-000001000000}"/>
    <cellStyle name="Comma [0]" xfId="2" xr:uid="{00000000-0005-0000-0000-000002000000}"/>
    <cellStyle name="Currency" xfId="3" xr:uid="{00000000-0005-0000-0000-000003000000}"/>
    <cellStyle name="Currency [0]" xfId="4" xr:uid="{00000000-0005-0000-0000-000004000000}"/>
    <cellStyle name="Normal" xfId="6" xr:uid="{00000000-0005-0000-0000-000000000000}"/>
    <cellStyle name="Percent" xfId="5" xr:uid="{00000000-0005-0000-0000-000005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gradFill>
        <a:gradFill>
          <a:gsLst>
            <a:gs pos="0">
              <a:schemeClr val="phClr">
                <a:tint val="80000"/>
              </a:schemeClr>
            </a:gs>
            <a:gs pos="100000">
              <a:schemeClr val="phClr">
                <a:shade val="3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5"/>
  <sheetViews>
    <sheetView workbookViewId="0">
      <selection activeCell="A4" sqref="A4"/>
    </sheetView>
  </sheetViews>
  <sheetFormatPr baseColWidth="10" defaultColWidth="8.6640625" defaultRowHeight="15" x14ac:dyDescent="0.2"/>
  <cols>
    <col min="1" max="1" width="115" customWidth="1"/>
  </cols>
  <sheetData>
    <row r="1" spans="1:1" x14ac:dyDescent="0.2">
      <c r="A1" s="1" t="s">
        <v>0</v>
      </c>
    </row>
    <row r="2" spans="1:1" x14ac:dyDescent="0.2">
      <c r="A2" s="2"/>
    </row>
    <row r="3" spans="1:1" x14ac:dyDescent="0.2">
      <c r="A3" s="2" t="s">
        <v>1</v>
      </c>
    </row>
    <row r="4" spans="1:1" x14ac:dyDescent="0.2">
      <c r="A4" s="2" t="s">
        <v>2</v>
      </c>
    </row>
    <row r="5" spans="1:1" x14ac:dyDescent="0.2">
      <c r="A5" s="2"/>
    </row>
    <row r="6" spans="1:1" x14ac:dyDescent="0.2">
      <c r="A6" s="2" t="s">
        <v>78</v>
      </c>
    </row>
    <row r="7" spans="1:1" x14ac:dyDescent="0.2">
      <c r="A7" s="2"/>
    </row>
    <row r="8" spans="1:1" x14ac:dyDescent="0.2">
      <c r="A8" s="2"/>
    </row>
    <row r="9" spans="1:1" x14ac:dyDescent="0.2">
      <c r="A9" s="1" t="s">
        <v>3</v>
      </c>
    </row>
    <row r="10" spans="1:1" x14ac:dyDescent="0.2">
      <c r="A10" s="2" t="s">
        <v>4</v>
      </c>
    </row>
    <row r="11" spans="1:1" x14ac:dyDescent="0.2">
      <c r="A11" s="2" t="s">
        <v>5</v>
      </c>
    </row>
    <row r="12" spans="1:1" x14ac:dyDescent="0.2">
      <c r="A12" s="2" t="s">
        <v>6</v>
      </c>
    </row>
    <row r="13" spans="1:1" x14ac:dyDescent="0.2">
      <c r="A13" s="2"/>
    </row>
    <row r="14" spans="1:1" x14ac:dyDescent="0.2">
      <c r="A14" s="2" t="s">
        <v>7</v>
      </c>
    </row>
    <row r="15" spans="1:1" x14ac:dyDescent="0.2">
      <c r="A15" s="2"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5"/>
  <sheetViews>
    <sheetView workbookViewId="0">
      <selection activeCell="A19" sqref="A19"/>
    </sheetView>
  </sheetViews>
  <sheetFormatPr baseColWidth="10" defaultColWidth="8.6640625" defaultRowHeight="15" x14ac:dyDescent="0.2"/>
  <cols>
    <col min="1" max="1" width="42" customWidth="1"/>
    <col min="2" max="2" width="7" customWidth="1"/>
    <col min="3" max="3" width="90" customWidth="1"/>
  </cols>
  <sheetData>
    <row r="1" spans="1:3" x14ac:dyDescent="0.2">
      <c r="A1" s="3" t="s">
        <v>9</v>
      </c>
      <c r="B1" s="3" t="s">
        <v>10</v>
      </c>
      <c r="C1" s="3" t="s">
        <v>11</v>
      </c>
    </row>
    <row r="2" spans="1:3" x14ac:dyDescent="0.2">
      <c r="A2" s="4" t="s">
        <v>12</v>
      </c>
      <c r="B2" s="4" t="s">
        <v>13</v>
      </c>
      <c r="C2" s="4"/>
    </row>
    <row r="3" spans="1:3" ht="30" x14ac:dyDescent="0.2">
      <c r="A3" s="5" t="s">
        <v>14</v>
      </c>
      <c r="B3" s="5" t="s">
        <v>15</v>
      </c>
      <c r="C3" s="5" t="s">
        <v>16</v>
      </c>
    </row>
    <row r="4" spans="1:3" ht="30" x14ac:dyDescent="0.2">
      <c r="A4" s="5" t="s">
        <v>17</v>
      </c>
      <c r="B4" s="5" t="s">
        <v>18</v>
      </c>
      <c r="C4" s="5" t="s">
        <v>19</v>
      </c>
    </row>
    <row r="5" spans="1:3" ht="30" x14ac:dyDescent="0.2">
      <c r="A5" s="5" t="s">
        <v>20</v>
      </c>
      <c r="B5" s="5" t="s">
        <v>15</v>
      </c>
      <c r="C5" s="5" t="s">
        <v>21</v>
      </c>
    </row>
    <row r="6" spans="1:3" ht="30" x14ac:dyDescent="0.2">
      <c r="A6" s="5" t="s">
        <v>22</v>
      </c>
      <c r="B6" s="5" t="s">
        <v>15</v>
      </c>
      <c r="C6" s="5" t="s">
        <v>23</v>
      </c>
    </row>
    <row r="7" spans="1:3" ht="30" x14ac:dyDescent="0.2">
      <c r="A7" s="4" t="s">
        <v>24</v>
      </c>
      <c r="B7" s="4" t="s">
        <v>25</v>
      </c>
      <c r="C7" s="4"/>
    </row>
    <row r="8" spans="1:3" ht="30" x14ac:dyDescent="0.2">
      <c r="A8" s="5" t="s">
        <v>26</v>
      </c>
      <c r="B8" s="5" t="s">
        <v>18</v>
      </c>
      <c r="C8" s="5" t="s">
        <v>27</v>
      </c>
    </row>
    <row r="9" spans="1:3" x14ac:dyDescent="0.2">
      <c r="A9" s="5" t="s">
        <v>28</v>
      </c>
      <c r="B9" s="5" t="s">
        <v>15</v>
      </c>
      <c r="C9" s="5" t="s">
        <v>29</v>
      </c>
    </row>
    <row r="10" spans="1:3" x14ac:dyDescent="0.2">
      <c r="A10" s="5" t="s">
        <v>30</v>
      </c>
      <c r="B10" s="5" t="s">
        <v>15</v>
      </c>
      <c r="C10" s="5" t="s">
        <v>31</v>
      </c>
    </row>
    <row r="11" spans="1:3" x14ac:dyDescent="0.2">
      <c r="A11" s="4" t="s">
        <v>32</v>
      </c>
      <c r="B11" s="4" t="s">
        <v>33</v>
      </c>
      <c r="C11" s="4"/>
    </row>
    <row r="12" spans="1:3" x14ac:dyDescent="0.2">
      <c r="A12" s="5" t="s">
        <v>34</v>
      </c>
      <c r="B12" s="5" t="s">
        <v>15</v>
      </c>
      <c r="C12" s="5" t="s">
        <v>35</v>
      </c>
    </row>
    <row r="13" spans="1:3" x14ac:dyDescent="0.2">
      <c r="A13" s="5" t="s">
        <v>36</v>
      </c>
      <c r="B13" s="5" t="s">
        <v>15</v>
      </c>
      <c r="C13" s="5" t="s">
        <v>37</v>
      </c>
    </row>
    <row r="14" spans="1:3" x14ac:dyDescent="0.2">
      <c r="A14" s="5" t="s">
        <v>38</v>
      </c>
      <c r="B14" s="5" t="s">
        <v>15</v>
      </c>
      <c r="C14" s="5" t="s">
        <v>39</v>
      </c>
    </row>
    <row r="15" spans="1:3" ht="30" x14ac:dyDescent="0.2">
      <c r="A15" s="4" t="s">
        <v>79</v>
      </c>
      <c r="B15" s="4" t="s">
        <v>40</v>
      </c>
      <c r="C15" s="4" t="s">
        <v>41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15"/>
  <sheetViews>
    <sheetView tabSelected="1" topLeftCell="A11" workbookViewId="0">
      <selection activeCell="Q18" sqref="Q18"/>
    </sheetView>
  </sheetViews>
  <sheetFormatPr baseColWidth="10" defaultColWidth="8.6640625" defaultRowHeight="15" x14ac:dyDescent="0.2"/>
  <cols>
    <col min="1" max="1" width="13" customWidth="1"/>
    <col min="2" max="2" width="9" customWidth="1"/>
    <col min="3" max="3" width="7" customWidth="1"/>
    <col min="4" max="4" width="8" customWidth="1"/>
    <col min="5" max="6" width="7" customWidth="1"/>
    <col min="7" max="8" width="8" customWidth="1"/>
    <col min="9" max="10" width="7" customWidth="1"/>
    <col min="11" max="11" width="8" customWidth="1"/>
    <col min="12" max="14" width="7" customWidth="1"/>
    <col min="15" max="15" width="8" customWidth="1"/>
    <col min="16" max="16" width="9" customWidth="1"/>
    <col min="17" max="17" width="40" customWidth="1"/>
  </cols>
  <sheetData>
    <row r="1" spans="1:17" ht="30" x14ac:dyDescent="0.2">
      <c r="A1" s="3" t="s">
        <v>42</v>
      </c>
      <c r="B1" s="3" t="s">
        <v>43</v>
      </c>
      <c r="C1" s="3" t="s">
        <v>44</v>
      </c>
      <c r="D1" s="3" t="s">
        <v>45</v>
      </c>
      <c r="E1" s="3" t="s">
        <v>46</v>
      </c>
      <c r="F1" s="3" t="s">
        <v>47</v>
      </c>
      <c r="G1" s="3" t="s">
        <v>48</v>
      </c>
      <c r="H1" s="3" t="s">
        <v>49</v>
      </c>
      <c r="I1" s="3" t="s">
        <v>50</v>
      </c>
      <c r="J1" s="3" t="s">
        <v>51</v>
      </c>
      <c r="K1" s="3" t="s">
        <v>52</v>
      </c>
      <c r="L1" s="3" t="s">
        <v>53</v>
      </c>
      <c r="M1" s="3" t="s">
        <v>54</v>
      </c>
      <c r="N1" s="3" t="s">
        <v>55</v>
      </c>
      <c r="O1" s="3" t="s">
        <v>56</v>
      </c>
      <c r="P1" s="3" t="s">
        <v>80</v>
      </c>
      <c r="Q1" s="3" t="s">
        <v>57</v>
      </c>
    </row>
    <row r="2" spans="1:17" ht="78" customHeight="1" x14ac:dyDescent="0.2">
      <c r="A2" s="2" t="s">
        <v>58</v>
      </c>
      <c r="B2" s="2" t="s">
        <v>59</v>
      </c>
      <c r="C2" s="7">
        <v>4</v>
      </c>
      <c r="D2" s="7">
        <v>9</v>
      </c>
      <c r="E2" s="7">
        <v>4</v>
      </c>
      <c r="F2" s="7">
        <v>2</v>
      </c>
      <c r="G2" s="8">
        <f t="shared" ref="G2:G13" si="0">SUM(C2:F2)</f>
        <v>19</v>
      </c>
      <c r="H2" s="7">
        <v>8</v>
      </c>
      <c r="I2" s="7">
        <v>4</v>
      </c>
      <c r="J2" s="7">
        <v>5</v>
      </c>
      <c r="K2" s="8">
        <f t="shared" ref="K2:K13" si="1">SUM(H2:J2)</f>
        <v>17</v>
      </c>
      <c r="L2" s="7">
        <v>5</v>
      </c>
      <c r="M2" s="7">
        <v>5</v>
      </c>
      <c r="N2" s="7">
        <v>4</v>
      </c>
      <c r="O2" s="8">
        <f t="shared" ref="O2:O13" si="2">SUM(L2:N2)</f>
        <v>14</v>
      </c>
      <c r="P2" s="9">
        <v>1</v>
      </c>
      <c r="Q2" s="10" t="s">
        <v>60</v>
      </c>
    </row>
    <row r="3" spans="1:17" ht="78" customHeight="1" x14ac:dyDescent="0.2">
      <c r="A3" s="2" t="s">
        <v>58</v>
      </c>
      <c r="B3" s="2" t="s">
        <v>61</v>
      </c>
      <c r="C3" s="7">
        <v>4</v>
      </c>
      <c r="D3" s="7">
        <v>8</v>
      </c>
      <c r="E3" s="7">
        <v>4</v>
      </c>
      <c r="F3" s="7">
        <v>1</v>
      </c>
      <c r="G3" s="8">
        <f t="shared" si="0"/>
        <v>17</v>
      </c>
      <c r="H3" s="7">
        <v>8</v>
      </c>
      <c r="I3" s="7">
        <v>4</v>
      </c>
      <c r="J3" s="7">
        <v>4</v>
      </c>
      <c r="K3" s="8">
        <f t="shared" si="1"/>
        <v>16</v>
      </c>
      <c r="L3" s="7">
        <v>5</v>
      </c>
      <c r="M3" s="7">
        <v>5</v>
      </c>
      <c r="N3" s="7">
        <v>4</v>
      </c>
      <c r="O3" s="8">
        <f t="shared" si="2"/>
        <v>14</v>
      </c>
      <c r="P3" s="9">
        <v>1</v>
      </c>
      <c r="Q3" s="10" t="s">
        <v>62</v>
      </c>
    </row>
    <row r="4" spans="1:17" ht="78" customHeight="1" x14ac:dyDescent="0.2">
      <c r="A4" s="2" t="s">
        <v>63</v>
      </c>
      <c r="B4" s="2" t="s">
        <v>59</v>
      </c>
      <c r="C4" s="7">
        <v>5</v>
      </c>
      <c r="D4" s="7">
        <v>8</v>
      </c>
      <c r="E4" s="7">
        <v>4</v>
      </c>
      <c r="F4" s="7">
        <v>1</v>
      </c>
      <c r="G4" s="8">
        <f t="shared" si="0"/>
        <v>18</v>
      </c>
      <c r="H4" s="7">
        <v>7</v>
      </c>
      <c r="I4" s="7">
        <v>4</v>
      </c>
      <c r="J4" s="7">
        <v>4</v>
      </c>
      <c r="K4" s="8">
        <f t="shared" si="1"/>
        <v>15</v>
      </c>
      <c r="L4" s="7">
        <v>4</v>
      </c>
      <c r="M4" s="7">
        <v>5</v>
      </c>
      <c r="N4" s="7">
        <v>3</v>
      </c>
      <c r="O4" s="8">
        <f t="shared" si="2"/>
        <v>12</v>
      </c>
      <c r="P4" s="9">
        <v>1</v>
      </c>
      <c r="Q4" s="10" t="s">
        <v>64</v>
      </c>
    </row>
    <row r="5" spans="1:17" ht="78" customHeight="1" x14ac:dyDescent="0.2">
      <c r="A5" s="2" t="s">
        <v>63</v>
      </c>
      <c r="B5" s="2" t="s">
        <v>61</v>
      </c>
      <c r="C5" s="7">
        <v>4</v>
      </c>
      <c r="D5" s="7">
        <v>8</v>
      </c>
      <c r="E5" s="7">
        <v>4</v>
      </c>
      <c r="F5" s="7">
        <v>2</v>
      </c>
      <c r="G5" s="8">
        <f t="shared" si="0"/>
        <v>18</v>
      </c>
      <c r="H5" s="7">
        <v>8</v>
      </c>
      <c r="I5" s="7">
        <v>4</v>
      </c>
      <c r="J5" s="7">
        <v>4</v>
      </c>
      <c r="K5" s="8">
        <f t="shared" si="1"/>
        <v>16</v>
      </c>
      <c r="L5" s="7">
        <v>4</v>
      </c>
      <c r="M5" s="7">
        <v>5</v>
      </c>
      <c r="N5" s="7">
        <v>3</v>
      </c>
      <c r="O5" s="8">
        <f t="shared" si="2"/>
        <v>12</v>
      </c>
      <c r="P5" s="9">
        <v>1</v>
      </c>
      <c r="Q5" s="10" t="s">
        <v>65</v>
      </c>
    </row>
    <row r="6" spans="1:17" ht="78" customHeight="1" x14ac:dyDescent="0.2">
      <c r="A6" s="2" t="s">
        <v>66</v>
      </c>
      <c r="B6" s="2" t="s">
        <v>59</v>
      </c>
      <c r="C6" s="7">
        <v>4</v>
      </c>
      <c r="D6" s="7">
        <v>8</v>
      </c>
      <c r="E6" s="7">
        <v>4</v>
      </c>
      <c r="F6" s="7">
        <v>1</v>
      </c>
      <c r="G6" s="8">
        <f t="shared" si="0"/>
        <v>17</v>
      </c>
      <c r="H6" s="7">
        <v>7</v>
      </c>
      <c r="I6" s="7">
        <v>4</v>
      </c>
      <c r="J6" s="7">
        <v>4</v>
      </c>
      <c r="K6" s="8">
        <f t="shared" si="1"/>
        <v>15</v>
      </c>
      <c r="L6" s="7">
        <v>5</v>
      </c>
      <c r="M6" s="7">
        <v>4</v>
      </c>
      <c r="N6" s="7">
        <v>4</v>
      </c>
      <c r="O6" s="8">
        <f t="shared" si="2"/>
        <v>13</v>
      </c>
      <c r="P6" s="9">
        <v>1</v>
      </c>
      <c r="Q6" s="10" t="s">
        <v>67</v>
      </c>
    </row>
    <row r="7" spans="1:17" ht="78" customHeight="1" x14ac:dyDescent="0.2">
      <c r="A7" s="2" t="s">
        <v>66</v>
      </c>
      <c r="B7" s="2" t="s">
        <v>61</v>
      </c>
      <c r="C7" s="7">
        <v>4</v>
      </c>
      <c r="D7" s="7">
        <v>9</v>
      </c>
      <c r="E7" s="7">
        <v>4</v>
      </c>
      <c r="F7" s="7">
        <v>1</v>
      </c>
      <c r="G7" s="8">
        <f t="shared" si="0"/>
        <v>18</v>
      </c>
      <c r="H7" s="7">
        <v>7</v>
      </c>
      <c r="I7" s="7">
        <v>3</v>
      </c>
      <c r="J7" s="7">
        <v>4</v>
      </c>
      <c r="K7" s="8">
        <f t="shared" si="1"/>
        <v>14</v>
      </c>
      <c r="L7" s="7">
        <v>5</v>
      </c>
      <c r="M7" s="7">
        <v>4</v>
      </c>
      <c r="N7" s="7">
        <v>3</v>
      </c>
      <c r="O7" s="8">
        <f t="shared" si="2"/>
        <v>12</v>
      </c>
      <c r="P7" s="9">
        <v>1</v>
      </c>
      <c r="Q7" s="10" t="s">
        <v>68</v>
      </c>
    </row>
    <row r="8" spans="1:17" ht="78" customHeight="1" x14ac:dyDescent="0.2">
      <c r="A8" s="2" t="s">
        <v>69</v>
      </c>
      <c r="B8" s="2" t="s">
        <v>59</v>
      </c>
      <c r="C8" s="7">
        <v>5</v>
      </c>
      <c r="D8" s="7">
        <v>8</v>
      </c>
      <c r="E8" s="7">
        <v>4</v>
      </c>
      <c r="F8" s="7">
        <v>1</v>
      </c>
      <c r="G8" s="8">
        <f t="shared" si="0"/>
        <v>18</v>
      </c>
      <c r="H8" s="7">
        <v>5</v>
      </c>
      <c r="I8" s="7">
        <v>3</v>
      </c>
      <c r="J8" s="7">
        <v>3</v>
      </c>
      <c r="K8" s="8">
        <f t="shared" si="1"/>
        <v>11</v>
      </c>
      <c r="L8" s="7">
        <v>4</v>
      </c>
      <c r="M8" s="7">
        <v>5</v>
      </c>
      <c r="N8" s="7">
        <v>3</v>
      </c>
      <c r="O8" s="8">
        <f t="shared" si="2"/>
        <v>12</v>
      </c>
      <c r="P8" s="9">
        <v>1</v>
      </c>
      <c r="Q8" s="10" t="s">
        <v>70</v>
      </c>
    </row>
    <row r="9" spans="1:17" ht="78" customHeight="1" x14ac:dyDescent="0.2">
      <c r="A9" s="2" t="s">
        <v>69</v>
      </c>
      <c r="B9" s="2" t="s">
        <v>61</v>
      </c>
      <c r="C9" s="7">
        <v>4</v>
      </c>
      <c r="D9" s="7">
        <v>8</v>
      </c>
      <c r="E9" s="7">
        <v>4</v>
      </c>
      <c r="F9" s="7">
        <v>1</v>
      </c>
      <c r="G9" s="8">
        <f t="shared" si="0"/>
        <v>17</v>
      </c>
      <c r="H9" s="7">
        <v>6</v>
      </c>
      <c r="I9" s="7">
        <v>3</v>
      </c>
      <c r="J9" s="7">
        <v>3</v>
      </c>
      <c r="K9" s="8">
        <f t="shared" si="1"/>
        <v>12</v>
      </c>
      <c r="L9" s="7">
        <v>4</v>
      </c>
      <c r="M9" s="7">
        <v>5</v>
      </c>
      <c r="N9" s="7">
        <v>3</v>
      </c>
      <c r="O9" s="8">
        <f t="shared" si="2"/>
        <v>12</v>
      </c>
      <c r="P9" s="9">
        <v>1</v>
      </c>
      <c r="Q9" s="10" t="s">
        <v>71</v>
      </c>
    </row>
    <row r="10" spans="1:17" ht="78" customHeight="1" x14ac:dyDescent="0.2">
      <c r="A10" s="2" t="s">
        <v>72</v>
      </c>
      <c r="B10" s="2" t="s">
        <v>59</v>
      </c>
      <c r="C10" s="7">
        <v>4</v>
      </c>
      <c r="D10" s="7">
        <v>8</v>
      </c>
      <c r="E10" s="7">
        <v>5</v>
      </c>
      <c r="F10" s="7">
        <v>2</v>
      </c>
      <c r="G10" s="8">
        <f t="shared" si="0"/>
        <v>19</v>
      </c>
      <c r="H10" s="7">
        <v>6</v>
      </c>
      <c r="I10" s="7">
        <v>4</v>
      </c>
      <c r="J10" s="7">
        <v>4</v>
      </c>
      <c r="K10" s="8">
        <f t="shared" si="1"/>
        <v>14</v>
      </c>
      <c r="L10" s="7">
        <v>5</v>
      </c>
      <c r="M10" s="7">
        <v>5</v>
      </c>
      <c r="N10" s="7">
        <v>4</v>
      </c>
      <c r="O10" s="8">
        <f t="shared" si="2"/>
        <v>14</v>
      </c>
      <c r="P10" s="9">
        <v>1.5</v>
      </c>
      <c r="Q10" s="10" t="s">
        <v>73</v>
      </c>
    </row>
    <row r="11" spans="1:17" ht="78" customHeight="1" x14ac:dyDescent="0.2">
      <c r="A11" s="2" t="s">
        <v>72</v>
      </c>
      <c r="B11" s="2" t="s">
        <v>61</v>
      </c>
      <c r="C11" s="7">
        <v>4</v>
      </c>
      <c r="D11" s="7">
        <v>8</v>
      </c>
      <c r="E11" s="7">
        <v>5</v>
      </c>
      <c r="F11" s="7">
        <v>1</v>
      </c>
      <c r="G11" s="8">
        <f t="shared" si="0"/>
        <v>18</v>
      </c>
      <c r="H11" s="7">
        <v>7</v>
      </c>
      <c r="I11" s="7">
        <v>4</v>
      </c>
      <c r="J11" s="7">
        <v>4</v>
      </c>
      <c r="K11" s="8">
        <f t="shared" si="1"/>
        <v>15</v>
      </c>
      <c r="L11" s="7">
        <v>5</v>
      </c>
      <c r="M11" s="7">
        <v>5</v>
      </c>
      <c r="N11" s="7">
        <v>4</v>
      </c>
      <c r="O11" s="8">
        <f t="shared" si="2"/>
        <v>14</v>
      </c>
      <c r="P11" s="9">
        <v>1.5</v>
      </c>
      <c r="Q11" s="10" t="s">
        <v>74</v>
      </c>
    </row>
    <row r="12" spans="1:17" ht="78" customHeight="1" x14ac:dyDescent="0.2">
      <c r="A12" s="2" t="s">
        <v>75</v>
      </c>
      <c r="B12" s="2" t="s">
        <v>59</v>
      </c>
      <c r="C12" s="7">
        <v>5</v>
      </c>
      <c r="D12" s="7">
        <v>9</v>
      </c>
      <c r="E12" s="7">
        <v>5</v>
      </c>
      <c r="F12" s="7">
        <v>2</v>
      </c>
      <c r="G12" s="8">
        <f t="shared" si="0"/>
        <v>21</v>
      </c>
      <c r="H12" s="7">
        <v>8</v>
      </c>
      <c r="I12" s="7">
        <v>4</v>
      </c>
      <c r="J12" s="7">
        <v>5</v>
      </c>
      <c r="K12" s="8">
        <f t="shared" si="1"/>
        <v>17</v>
      </c>
      <c r="L12" s="7">
        <v>5</v>
      </c>
      <c r="M12" s="7">
        <v>5</v>
      </c>
      <c r="N12" s="7">
        <v>5</v>
      </c>
      <c r="O12" s="8">
        <f t="shared" si="2"/>
        <v>15</v>
      </c>
      <c r="P12" s="9">
        <v>1.5</v>
      </c>
      <c r="Q12" s="10" t="s">
        <v>76</v>
      </c>
    </row>
    <row r="13" spans="1:17" ht="78" customHeight="1" x14ac:dyDescent="0.2">
      <c r="A13" s="2" t="s">
        <v>75</v>
      </c>
      <c r="B13" s="2" t="s">
        <v>61</v>
      </c>
      <c r="C13" s="7">
        <v>4</v>
      </c>
      <c r="D13" s="7">
        <v>9</v>
      </c>
      <c r="E13" s="7">
        <v>5</v>
      </c>
      <c r="F13" s="7">
        <v>2</v>
      </c>
      <c r="G13" s="8">
        <f t="shared" si="0"/>
        <v>20</v>
      </c>
      <c r="H13" s="7">
        <v>8</v>
      </c>
      <c r="I13" s="7">
        <v>4</v>
      </c>
      <c r="J13" s="7">
        <v>4</v>
      </c>
      <c r="K13" s="8">
        <f t="shared" si="1"/>
        <v>16</v>
      </c>
      <c r="L13" s="7">
        <v>5</v>
      </c>
      <c r="M13" s="7">
        <v>5</v>
      </c>
      <c r="N13" s="7">
        <v>5</v>
      </c>
      <c r="O13" s="8">
        <f t="shared" si="2"/>
        <v>15</v>
      </c>
      <c r="P13" s="9">
        <v>1.5</v>
      </c>
      <c r="Q13" s="10" t="s">
        <v>77</v>
      </c>
    </row>
    <row r="15" spans="1:17" x14ac:dyDescent="0.2">
      <c r="A15" s="6" t="s">
        <v>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Φύλλα εργασίας</vt:lpstr>
      </vt:variant>
      <vt:variant>
        <vt:i4>3</vt:i4>
      </vt:variant>
    </vt:vector>
  </HeadingPairs>
  <TitlesOfParts>
    <vt:vector size="3" baseType="lpstr">
      <vt:lpstr>Instructions</vt:lpstr>
      <vt:lpstr>Rubric</vt:lpstr>
      <vt:lpstr>Score entry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Dimitris Doumanas</cp:lastModifiedBy>
  <dcterms:modified xsi:type="dcterms:W3CDTF">2026-07-18T07:03:57Z</dcterms:modified>
</cp:coreProperties>
</file>