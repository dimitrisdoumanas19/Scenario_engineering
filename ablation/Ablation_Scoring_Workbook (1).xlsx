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oKG_Scores" sheetId="2" state="visible" r:id="rId4"/>
    <sheet name="KG_Scores" sheetId="3" state="visible" r:id="rId5"/>
    <sheet name="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<sst xmlns="http://schemas.openxmlformats.org/spreadsheetml/2006/main" count="114" uniqueCount="70">
  <si>
    <t xml:space="preserve">SEGNAR Ablation Scoring Workbook</t>
  </si>
  <si>
    <t xml:space="preserve">How to use</t>
  </si>
  <si>
    <t xml:space="preserve">1. NoKG_Scores: enter dimension scores for the 6 no-KG scenarios in the YELLOW cells.</t>
  </si>
  <si>
    <t xml:space="preserve">2. KG_Scores: paste per-scenario dimension scores for the 12 existing Type 1 and Type 3 scenarios (from your evaluation workbooks) in the YELLOW cells.</t>
  </si>
  <si>
    <t xml:space="preserve">3. Comparison: computed automatically (means, SD, difference, Welch two-tailed t-test p-values).</t>
  </si>
  <si>
    <t xml:space="preserve">Legend</t>
  </si>
  <si>
    <t xml:space="preserve">Yellow fill + blue text = cells you fill in. Black text = formulas, do not edit.</t>
  </si>
  <si>
    <t xml:space="preserve">Pre-registered rules (see Ablation_Protocol.md)</t>
  </si>
  <si>
    <t xml:space="preserve">D1 is scored against the real KG/CSVs in both conditions; in the no-KG condition it is near zero by construction and is excluded from inferential tests.</t>
  </si>
  <si>
    <t xml:space="preserve">Primary comparison metric = Adjusted Score /70 = D2+D3+D4+D5+D6.</t>
  </si>
  <si>
    <t xml:space="preserve">Deployment-ready = Total &gt;= 70 AND D1&gt;=24, D2&gt;=18, D3&gt;=14, D4&gt;=10, D5&gt;=4, D6&gt;=3 (manuscript Section 4.1.2.1).</t>
  </si>
  <si>
    <t xml:space="preserve">The row marked EXAMPLE in NoKG_Scores shows the expected format. Overwrite it with real values; it sits inside the scored range on purpose.</t>
  </si>
  <si>
    <t xml:space="preserve">Scenario</t>
  </si>
  <si>
    <t xml:space="preserve">Domain</t>
  </si>
  <si>
    <t xml:space="preserve">Type</t>
  </si>
  <si>
    <t xml:space="preserve">D1 (max 30)</t>
  </si>
  <si>
    <t xml:space="preserve">D2 (max 25)</t>
  </si>
  <si>
    <t xml:space="preserve">D3 (max 20)</t>
  </si>
  <si>
    <t xml:space="preserve">D4 (max 15)</t>
  </si>
  <si>
    <t xml:space="preserve">D5 (max 5)</t>
  </si>
  <si>
    <t xml:space="preserve">D6 (max 5)</t>
  </si>
  <si>
    <t xml:space="preserve">Total /100</t>
  </si>
  <si>
    <t xml:space="preserve">Adjusted /70</t>
  </si>
  <si>
    <t xml:space="preserve">Deployment-ready?</t>
  </si>
  <si>
    <t xml:space="preserve">NoKG-SAR-T1</t>
  </si>
  <si>
    <t xml:space="preserve">SAR</t>
  </si>
  <si>
    <t xml:space="preserve">1 Decision-Making</t>
  </si>
  <si>
    <t xml:space="preserve">NoKG-SAR-T3</t>
  </si>
  <si>
    <t xml:space="preserve">3 Resource Opt.</t>
  </si>
  <si>
    <t xml:space="preserve">NoKG-BS-T1</t>
  </si>
  <si>
    <t xml:space="preserve">Border Security</t>
  </si>
  <si>
    <t xml:space="preserve">NoKG-BS-T3</t>
  </si>
  <si>
    <t xml:space="preserve">NoKG-NEG-T1</t>
  </si>
  <si>
    <t xml:space="preserve">Crisis Negotiation</t>
  </si>
  <si>
    <t xml:space="preserve">NoKG-NEG-T3</t>
  </si>
  <si>
    <t xml:space="preserve">KG-SAR-1.1</t>
  </si>
  <si>
    <t xml:space="preserve">KG-SAR-1.2</t>
  </si>
  <si>
    <t xml:space="preserve">KG-SAR-3.1</t>
  </si>
  <si>
    <t xml:space="preserve">KG-SAR-3.2</t>
  </si>
  <si>
    <t xml:space="preserve">KG-BS-1.1</t>
  </si>
  <si>
    <t xml:space="preserve">KG-BS-1.2</t>
  </si>
  <si>
    <t xml:space="preserve">KG-BS-3.1</t>
  </si>
  <si>
    <t xml:space="preserve">KG-BS-3.2</t>
  </si>
  <si>
    <t xml:space="preserve">KG-NEG-1.1</t>
  </si>
  <si>
    <t xml:space="preserve">KG-NEG-1.2</t>
  </si>
  <si>
    <t xml:space="preserve">KG-NEG-3.1</t>
  </si>
  <si>
    <t xml:space="preserve">KG-NEG-3.2</t>
  </si>
  <si>
    <t xml:space="preserve">Paste per-scenario dimension scores from your existing evaluation workbooks. Type-level total means for cross-checking: SAR T1=89.5, T3=81.0; BS T1=86.0, T3=75.5; NEG T1=85.0, T3=72.5 (manuscript Tables 3, 5, 7).</t>
  </si>
  <si>
    <t xml:space="preserve">Metric</t>
  </si>
  <si>
    <t xml:space="preserve">KG mean (n=12)</t>
  </si>
  <si>
    <t xml:space="preserve">KG SD</t>
  </si>
  <si>
    <t xml:space="preserve">No-KG mean (n=6)</t>
  </si>
  <si>
    <t xml:space="preserve">No-KG SD</t>
  </si>
  <si>
    <t xml:space="preserve">Difference (KG - NoKG)</t>
  </si>
  <si>
    <t xml:space="preserve">Welch t-test p (two-tailed)</t>
  </si>
  <si>
    <t xml:space="preserve">Note</t>
  </si>
  <si>
    <t xml:space="preserve">D1: KG Grounding /30</t>
  </si>
  <si>
    <t xml:space="preserve">n/a</t>
  </si>
  <si>
    <t xml:space="preserve">Descriptive only (near zero by construction in No-KG)</t>
  </si>
  <si>
    <t xml:space="preserve">D2: Pedagogical Quality /25</t>
  </si>
  <si>
    <t xml:space="preserve">D3: Operational Realism /20</t>
  </si>
  <si>
    <t xml:space="preserve">D4: Decision Complexity /15</t>
  </si>
  <si>
    <t xml:space="preserve">D5: Structural Completeness /5</t>
  </si>
  <si>
    <t xml:space="preserve">D6: Facilitator Support /5</t>
  </si>
  <si>
    <t xml:space="preserve">Includes D1; interpret with caution</t>
  </si>
  <si>
    <t xml:space="preserve">Adjusted Score /70</t>
  </si>
  <si>
    <t xml:space="preserve">PRIMARY comparison metric</t>
  </si>
  <si>
    <t xml:space="preserve">Deployment-ready count, KG condition</t>
  </si>
  <si>
    <t xml:space="preserve">Deployment-ready count, No-KG condition</t>
  </si>
  <si>
    <t xml:space="preserve">Low power caveat: n=6 vs n=12. Report effect direction and magnitude; avoid strong claims from non-significant p-values.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</si>
</sst>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0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2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2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/>
    </row>
    <row r="11" customFormat="false" ht="15" hidden="false" customHeight="true" outlineLevel="0" collapsed="false">
      <c r="A11" s="2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9" min="4" style="1" width="12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6"/>
  </cols>
  <sheetData>
    <row r="1" customFormat="false" ht="26.25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</row>
    <row r="2" customFormat="false" ht="15" hidden="false" customHeight="true" outlineLevel="0" collapsed="false">
      <c r="A2" s="3" t="s">
        <v>24</v>
      </c>
      <c r="B2" s="3" t="s">
        <v>25</v>
      </c>
      <c r="C2" s="3" t="s">
        <v>26</v>
      </c>
      <c r="D2" s="5" t="n">
        <v>0</v>
      </c>
      <c r="E2" s="5" t="n">
        <v>18</v>
      </c>
      <c r="F2" s="5" t="n">
        <v>16.5</v>
      </c>
      <c r="G2" s="5" t="n">
        <v>14</v>
      </c>
      <c r="H2" s="5" t="n">
        <v>5</v>
      </c>
      <c r="I2" s="5" t="n">
        <v>1</v>
      </c>
      <c r="J2" s="2" t="n">
        <f aca="false">IF(COUNT(D2:I2)=6,SUM(D2:I2),"")</f>
        <v>54.5</v>
      </c>
      <c r="K2" s="2" t="n">
        <f aca="false">IF(COUNT(E2:I2)=5,SUM(E2:I2),"")</f>
        <v>54.5</v>
      </c>
      <c r="L2" s="2" t="str">
        <f aca="false">IF(COUNT(D2:I2)&lt;6,"",IF(AND(J2&gt;=70,D2&gt;=24,E2&gt;=18,F2&gt;=14,G2&gt;=10,H2&gt;=4,I2&gt;=3),"YES","NO"))</f>
        <v>NO</v>
      </c>
    </row>
    <row r="3" customFormat="false" ht="15" hidden="false" customHeight="true" outlineLevel="0" collapsed="false">
      <c r="A3" s="3" t="s">
        <v>27</v>
      </c>
      <c r="B3" s="3" t="s">
        <v>25</v>
      </c>
      <c r="C3" s="3" t="s">
        <v>28</v>
      </c>
      <c r="D3" s="5" t="n">
        <v>0</v>
      </c>
      <c r="E3" s="5" t="n">
        <v>18</v>
      </c>
      <c r="F3" s="5" t="n">
        <v>15.5</v>
      </c>
      <c r="G3" s="5" t="n">
        <v>12</v>
      </c>
      <c r="H3" s="5" t="n">
        <v>5</v>
      </c>
      <c r="I3" s="5" t="n">
        <v>1</v>
      </c>
      <c r="J3" s="2" t="n">
        <f aca="false">IF(COUNT(D3:I3)=6,SUM(D3:I3),"")</f>
        <v>51.5</v>
      </c>
      <c r="K3" s="2" t="n">
        <f aca="false">IF(COUNT(E3:I3)=5,SUM(E3:I3),"")</f>
        <v>51.5</v>
      </c>
      <c r="L3" s="2" t="str">
        <f aca="false">IF(COUNT(D3:I3)&lt;6,"",IF(AND(J3&gt;=70,D3&gt;=24,E3&gt;=18,F3&gt;=14,G3&gt;=10,H3&gt;=4,I3&gt;=3),"YES","NO"))</f>
        <v>NO</v>
      </c>
    </row>
    <row r="4" customFormat="false" ht="15" hidden="false" customHeight="true" outlineLevel="0" collapsed="false">
      <c r="A4" s="3" t="s">
        <v>29</v>
      </c>
      <c r="B4" s="3" t="s">
        <v>30</v>
      </c>
      <c r="C4" s="3" t="s">
        <v>26</v>
      </c>
      <c r="D4" s="5" t="n">
        <v>0</v>
      </c>
      <c r="E4" s="5" t="n">
        <v>17.5</v>
      </c>
      <c r="F4" s="5" t="n">
        <v>14.5</v>
      </c>
      <c r="G4" s="5" t="n">
        <v>12.5</v>
      </c>
      <c r="H4" s="5" t="n">
        <v>5</v>
      </c>
      <c r="I4" s="5" t="n">
        <v>1</v>
      </c>
      <c r="J4" s="2" t="n">
        <f aca="false">IF(COUNT(D4:I4)=6,SUM(D4:I4),"")</f>
        <v>50.5</v>
      </c>
      <c r="K4" s="2" t="n">
        <f aca="false">IF(COUNT(E4:I4)=5,SUM(E4:I4),"")</f>
        <v>50.5</v>
      </c>
      <c r="L4" s="2" t="str">
        <f aca="false">IF(COUNT(D4:I4)&lt;6,"",IF(AND(J4&gt;=70,D4&gt;=24,E4&gt;=18,F4&gt;=14,G4&gt;=10,H4&gt;=4,I4&gt;=3),"YES","NO"))</f>
        <v>NO</v>
      </c>
    </row>
    <row r="5" customFormat="false" ht="15" hidden="false" customHeight="true" outlineLevel="0" collapsed="false">
      <c r="A5" s="3" t="s">
        <v>31</v>
      </c>
      <c r="B5" s="3" t="s">
        <v>30</v>
      </c>
      <c r="C5" s="3" t="s">
        <v>28</v>
      </c>
      <c r="D5" s="5" t="n">
        <v>0</v>
      </c>
      <c r="E5" s="5" t="n">
        <v>17.5</v>
      </c>
      <c r="F5" s="5" t="n">
        <v>11.5</v>
      </c>
      <c r="G5" s="5" t="n">
        <v>12</v>
      </c>
      <c r="H5" s="5" t="n">
        <v>5</v>
      </c>
      <c r="I5" s="5" t="n">
        <v>1</v>
      </c>
      <c r="J5" s="2" t="n">
        <f aca="false">IF(COUNT(D5:I5)=6,SUM(D5:I5),"")</f>
        <v>47</v>
      </c>
      <c r="K5" s="2" t="n">
        <f aca="false">IF(COUNT(E5:I5)=5,SUM(E5:I5),"")</f>
        <v>47</v>
      </c>
      <c r="L5" s="2" t="str">
        <f aca="false">IF(COUNT(D5:I5)&lt;6,"",IF(AND(J5&gt;=70,D5&gt;=24,E5&gt;=18,F5&gt;=14,G5&gt;=10,H5&gt;=4,I5&gt;=3),"YES","NO"))</f>
        <v>NO</v>
      </c>
    </row>
    <row r="6" customFormat="false" ht="15" hidden="false" customHeight="true" outlineLevel="0" collapsed="false">
      <c r="A6" s="3" t="s">
        <v>32</v>
      </c>
      <c r="B6" s="3" t="s">
        <v>33</v>
      </c>
      <c r="C6" s="3" t="s">
        <v>26</v>
      </c>
      <c r="D6" s="5" t="n">
        <v>0</v>
      </c>
      <c r="E6" s="5" t="n">
        <v>18.5</v>
      </c>
      <c r="F6" s="5" t="n">
        <v>14.5</v>
      </c>
      <c r="G6" s="5" t="n">
        <v>14</v>
      </c>
      <c r="H6" s="5" t="n">
        <v>5</v>
      </c>
      <c r="I6" s="5" t="n">
        <v>1.5</v>
      </c>
      <c r="J6" s="2" t="n">
        <f aca="false">IF(COUNT(D6:I6)=6,SUM(D6:I6),"")</f>
        <v>53.5</v>
      </c>
      <c r="K6" s="2" t="n">
        <f aca="false">IF(COUNT(E6:I6)=5,SUM(E6:I6),"")</f>
        <v>53.5</v>
      </c>
      <c r="L6" s="2" t="str">
        <f aca="false">IF(COUNT(D6:I6)&lt;6,"",IF(AND(J6&gt;=70,D6&gt;=24,E6&gt;=18,F6&gt;=14,G6&gt;=10,H6&gt;=4,I6&gt;=3),"YES","NO"))</f>
        <v>NO</v>
      </c>
    </row>
    <row r="7" customFormat="false" ht="15" hidden="false" customHeight="true" outlineLevel="0" collapsed="false">
      <c r="A7" s="3" t="s">
        <v>34</v>
      </c>
      <c r="B7" s="3" t="s">
        <v>33</v>
      </c>
      <c r="C7" s="3" t="s">
        <v>28</v>
      </c>
      <c r="D7" s="5" t="n">
        <v>0</v>
      </c>
      <c r="E7" s="5" t="n">
        <v>20.5</v>
      </c>
      <c r="F7" s="5" t="n">
        <v>16.5</v>
      </c>
      <c r="G7" s="5" t="n">
        <v>15</v>
      </c>
      <c r="H7" s="5" t="n">
        <v>5</v>
      </c>
      <c r="I7" s="5" t="n">
        <v>1.5</v>
      </c>
      <c r="J7" s="2" t="n">
        <f aca="false">IF(COUNT(D7:I7)=6,SUM(D7:I7),"")</f>
        <v>58.5</v>
      </c>
      <c r="K7" s="2" t="n">
        <f aca="false">IF(COUNT(E7:I7)=5,SUM(E7:I7),"")</f>
        <v>58.5</v>
      </c>
      <c r="L7" s="2" t="str">
        <f aca="false">IF(COUNT(D7:I7)&lt;6,"",IF(AND(J7&gt;=70,D7&gt;=24,E7&gt;=18,F7&gt;=14,G7&gt;=10,H7&gt;=4,I7&gt;=3),"YES","NO"))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9" min="4" style="1" width="12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16"/>
  </cols>
  <sheetData>
    <row r="1" customFormat="false" ht="26.25" hidden="false" customHeight="true" outlineLevel="0" collapsed="false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</row>
    <row r="2" customFormat="false" ht="15" hidden="false" customHeight="true" outlineLevel="0" collapsed="false">
      <c r="A2" s="3" t="s">
        <v>35</v>
      </c>
      <c r="B2" s="3" t="s">
        <v>25</v>
      </c>
      <c r="C2" s="3" t="s">
        <v>26</v>
      </c>
      <c r="D2" s="5"/>
      <c r="E2" s="5"/>
      <c r="F2" s="5"/>
      <c r="G2" s="5"/>
      <c r="H2" s="5"/>
      <c r="I2" s="5"/>
      <c r="J2" s="2" t="str">
        <f aca="false">IF(COUNT(D2:I2)=6,SUM(D2:I2),"")</f>
        <v/>
      </c>
      <c r="K2" s="2" t="str">
        <f aca="false">IF(COUNT(E2:I2)=5,SUM(E2:I2),"")</f>
        <v/>
      </c>
      <c r="L2" s="2" t="str">
        <f aca="false">IF(COUNT(D2:I2)&lt;6,"",IF(AND(J2&gt;=70,D2&gt;=24,E2&gt;=18,F2&gt;=14,G2&gt;=10,H2&gt;=4,I2&gt;=3),"YES","NO"))</f>
        <v/>
      </c>
    </row>
    <row r="3" customFormat="false" ht="15" hidden="false" customHeight="true" outlineLevel="0" collapsed="false">
      <c r="A3" s="3" t="s">
        <v>36</v>
      </c>
      <c r="B3" s="3" t="s">
        <v>25</v>
      </c>
      <c r="C3" s="3" t="s">
        <v>26</v>
      </c>
      <c r="D3" s="5"/>
      <c r="E3" s="5"/>
      <c r="F3" s="5"/>
      <c r="G3" s="5"/>
      <c r="H3" s="5"/>
      <c r="I3" s="5"/>
      <c r="J3" s="2" t="str">
        <f aca="false">IF(COUNT(D3:I3)=6,SUM(D3:I3),"")</f>
        <v/>
      </c>
      <c r="K3" s="2" t="str">
        <f aca="false">IF(COUNT(E3:I3)=5,SUM(E3:I3),"")</f>
        <v/>
      </c>
      <c r="L3" s="2" t="str">
        <f aca="false">IF(COUNT(D3:I3)&lt;6,"",IF(AND(J3&gt;=70,D3&gt;=24,E3&gt;=18,F3&gt;=14,G3&gt;=10,H3&gt;=4,I3&gt;=3),"YES","NO"))</f>
        <v/>
      </c>
    </row>
    <row r="4" customFormat="false" ht="15" hidden="false" customHeight="true" outlineLevel="0" collapsed="false">
      <c r="A4" s="3" t="s">
        <v>37</v>
      </c>
      <c r="B4" s="3" t="s">
        <v>25</v>
      </c>
      <c r="C4" s="3" t="s">
        <v>28</v>
      </c>
      <c r="D4" s="5"/>
      <c r="E4" s="5"/>
      <c r="F4" s="5"/>
      <c r="G4" s="5"/>
      <c r="H4" s="5"/>
      <c r="I4" s="5"/>
      <c r="J4" s="2" t="str">
        <f aca="false">IF(COUNT(D4:I4)=6,SUM(D4:I4),"")</f>
        <v/>
      </c>
      <c r="K4" s="2" t="str">
        <f aca="false">IF(COUNT(E4:I4)=5,SUM(E4:I4),"")</f>
        <v/>
      </c>
      <c r="L4" s="2" t="str">
        <f aca="false">IF(COUNT(D4:I4)&lt;6,"",IF(AND(J4&gt;=70,D4&gt;=24,E4&gt;=18,F4&gt;=14,G4&gt;=10,H4&gt;=4,I4&gt;=3),"YES","NO"))</f>
        <v/>
      </c>
    </row>
    <row r="5" customFormat="false" ht="15" hidden="false" customHeight="true" outlineLevel="0" collapsed="false">
      <c r="A5" s="3" t="s">
        <v>38</v>
      </c>
      <c r="B5" s="3" t="s">
        <v>25</v>
      </c>
      <c r="C5" s="3" t="s">
        <v>28</v>
      </c>
      <c r="D5" s="5"/>
      <c r="E5" s="5"/>
      <c r="F5" s="5"/>
      <c r="G5" s="5"/>
      <c r="H5" s="5"/>
      <c r="I5" s="5"/>
      <c r="J5" s="2" t="str">
        <f aca="false">IF(COUNT(D5:I5)=6,SUM(D5:I5),"")</f>
        <v/>
      </c>
      <c r="K5" s="2" t="str">
        <f aca="false">IF(COUNT(E5:I5)=5,SUM(E5:I5),"")</f>
        <v/>
      </c>
      <c r="L5" s="2" t="str">
        <f aca="false">IF(COUNT(D5:I5)&lt;6,"",IF(AND(J5&gt;=70,D5&gt;=24,E5&gt;=18,F5&gt;=14,G5&gt;=10,H5&gt;=4,I5&gt;=3),"YES","NO"))</f>
        <v/>
      </c>
    </row>
    <row r="6" customFormat="false" ht="15" hidden="false" customHeight="true" outlineLevel="0" collapsed="false">
      <c r="A6" s="3" t="s">
        <v>39</v>
      </c>
      <c r="B6" s="3" t="s">
        <v>30</v>
      </c>
      <c r="C6" s="3" t="s">
        <v>26</v>
      </c>
      <c r="D6" s="5"/>
      <c r="E6" s="5"/>
      <c r="F6" s="5"/>
      <c r="G6" s="5"/>
      <c r="H6" s="5"/>
      <c r="I6" s="5"/>
      <c r="J6" s="2" t="str">
        <f aca="false">IF(COUNT(D6:I6)=6,SUM(D6:I6),"")</f>
        <v/>
      </c>
      <c r="K6" s="2" t="str">
        <f aca="false">IF(COUNT(E6:I6)=5,SUM(E6:I6),"")</f>
        <v/>
      </c>
      <c r="L6" s="2" t="str">
        <f aca="false">IF(COUNT(D6:I6)&lt;6,"",IF(AND(J6&gt;=70,D6&gt;=24,E6&gt;=18,F6&gt;=14,G6&gt;=10,H6&gt;=4,I6&gt;=3),"YES","NO"))</f>
        <v/>
      </c>
    </row>
    <row r="7" customFormat="false" ht="15" hidden="false" customHeight="true" outlineLevel="0" collapsed="false">
      <c r="A7" s="3" t="s">
        <v>40</v>
      </c>
      <c r="B7" s="3" t="s">
        <v>30</v>
      </c>
      <c r="C7" s="3" t="s">
        <v>26</v>
      </c>
      <c r="D7" s="5"/>
      <c r="E7" s="5"/>
      <c r="F7" s="5"/>
      <c r="G7" s="5"/>
      <c r="H7" s="5"/>
      <c r="I7" s="5"/>
      <c r="J7" s="2" t="str">
        <f aca="false">IF(COUNT(D7:I7)=6,SUM(D7:I7),"")</f>
        <v/>
      </c>
      <c r="K7" s="2" t="str">
        <f aca="false">IF(COUNT(E7:I7)=5,SUM(E7:I7),"")</f>
        <v/>
      </c>
      <c r="L7" s="2" t="str">
        <f aca="false">IF(COUNT(D7:I7)&lt;6,"",IF(AND(J7&gt;=70,D7&gt;=24,E7&gt;=18,F7&gt;=14,G7&gt;=10,H7&gt;=4,I7&gt;=3),"YES","NO"))</f>
        <v/>
      </c>
    </row>
    <row r="8" customFormat="false" ht="15" hidden="false" customHeight="true" outlineLevel="0" collapsed="false">
      <c r="A8" s="3" t="s">
        <v>41</v>
      </c>
      <c r="B8" s="3" t="s">
        <v>30</v>
      </c>
      <c r="C8" s="3" t="s">
        <v>28</v>
      </c>
      <c r="D8" s="5"/>
      <c r="E8" s="5"/>
      <c r="F8" s="5"/>
      <c r="G8" s="5"/>
      <c r="H8" s="5"/>
      <c r="I8" s="5"/>
      <c r="J8" s="2" t="str">
        <f aca="false">IF(COUNT(D8:I8)=6,SUM(D8:I8),"")</f>
        <v/>
      </c>
      <c r="K8" s="2" t="str">
        <f aca="false">IF(COUNT(E8:I8)=5,SUM(E8:I8),"")</f>
        <v/>
      </c>
      <c r="L8" s="2" t="str">
        <f aca="false">IF(COUNT(D8:I8)&lt;6,"",IF(AND(J8&gt;=70,D8&gt;=24,E8&gt;=18,F8&gt;=14,G8&gt;=10,H8&gt;=4,I8&gt;=3),"YES","NO"))</f>
        <v/>
      </c>
    </row>
    <row r="9" customFormat="false" ht="15" hidden="false" customHeight="true" outlineLevel="0" collapsed="false">
      <c r="A9" s="3" t="s">
        <v>42</v>
      </c>
      <c r="B9" s="3" t="s">
        <v>30</v>
      </c>
      <c r="C9" s="3" t="s">
        <v>28</v>
      </c>
      <c r="D9" s="5"/>
      <c r="E9" s="5"/>
      <c r="F9" s="5"/>
      <c r="G9" s="5"/>
      <c r="H9" s="5"/>
      <c r="I9" s="5"/>
      <c r="J9" s="2" t="str">
        <f aca="false">IF(COUNT(D9:I9)=6,SUM(D9:I9),"")</f>
        <v/>
      </c>
      <c r="K9" s="2" t="str">
        <f aca="false">IF(COUNT(E9:I9)=5,SUM(E9:I9),"")</f>
        <v/>
      </c>
      <c r="L9" s="2" t="str">
        <f aca="false">IF(COUNT(D9:I9)&lt;6,"",IF(AND(J9&gt;=70,D9&gt;=24,E9&gt;=18,F9&gt;=14,G9&gt;=10,H9&gt;=4,I9&gt;=3),"YES","NO"))</f>
        <v/>
      </c>
    </row>
    <row r="10" customFormat="false" ht="15" hidden="false" customHeight="true" outlineLevel="0" collapsed="false">
      <c r="A10" s="3" t="s">
        <v>43</v>
      </c>
      <c r="B10" s="3" t="s">
        <v>33</v>
      </c>
      <c r="C10" s="3" t="s">
        <v>26</v>
      </c>
      <c r="D10" s="5"/>
      <c r="E10" s="5"/>
      <c r="F10" s="5"/>
      <c r="G10" s="5"/>
      <c r="H10" s="5"/>
      <c r="I10" s="5"/>
      <c r="J10" s="2" t="str">
        <f aca="false">IF(COUNT(D10:I10)=6,SUM(D10:I10),"")</f>
        <v/>
      </c>
      <c r="K10" s="2" t="str">
        <f aca="false">IF(COUNT(E10:I10)=5,SUM(E10:I10),"")</f>
        <v/>
      </c>
      <c r="L10" s="2" t="str">
        <f aca="false">IF(COUNT(D10:I10)&lt;6,"",IF(AND(J10&gt;=70,D10&gt;=24,E10&gt;=18,F10&gt;=14,G10&gt;=10,H10&gt;=4,I10&gt;=3),"YES","NO"))</f>
        <v/>
      </c>
    </row>
    <row r="11" customFormat="false" ht="15" hidden="false" customHeight="true" outlineLevel="0" collapsed="false">
      <c r="A11" s="3" t="s">
        <v>44</v>
      </c>
      <c r="B11" s="3" t="s">
        <v>33</v>
      </c>
      <c r="C11" s="3" t="s">
        <v>26</v>
      </c>
      <c r="D11" s="5"/>
      <c r="E11" s="5"/>
      <c r="F11" s="5"/>
      <c r="G11" s="5"/>
      <c r="H11" s="5"/>
      <c r="I11" s="5"/>
      <c r="J11" s="2" t="str">
        <f aca="false">IF(COUNT(D11:I11)=6,SUM(D11:I11),"")</f>
        <v/>
      </c>
      <c r="K11" s="2" t="str">
        <f aca="false">IF(COUNT(E11:I11)=5,SUM(E11:I11),"")</f>
        <v/>
      </c>
      <c r="L11" s="2" t="str">
        <f aca="false">IF(COUNT(D11:I11)&lt;6,"",IF(AND(J11&gt;=70,D11&gt;=24,E11&gt;=18,F11&gt;=14,G11&gt;=10,H11&gt;=4,I11&gt;=3),"YES","NO"))</f>
        <v/>
      </c>
    </row>
    <row r="12" customFormat="false" ht="15" hidden="false" customHeight="true" outlineLevel="0" collapsed="false">
      <c r="A12" s="3" t="s">
        <v>45</v>
      </c>
      <c r="B12" s="3" t="s">
        <v>33</v>
      </c>
      <c r="C12" s="3" t="s">
        <v>28</v>
      </c>
      <c r="D12" s="5"/>
      <c r="E12" s="5"/>
      <c r="F12" s="5"/>
      <c r="G12" s="5"/>
      <c r="H12" s="5"/>
      <c r="I12" s="5"/>
      <c r="J12" s="2" t="str">
        <f aca="false">IF(COUNT(D12:I12)=6,SUM(D12:I12),"")</f>
        <v/>
      </c>
      <c r="K12" s="2" t="str">
        <f aca="false">IF(COUNT(E12:I12)=5,SUM(E12:I12),"")</f>
        <v/>
      </c>
      <c r="L12" s="2" t="str">
        <f aca="false">IF(COUNT(D12:I12)&lt;6,"",IF(AND(J12&gt;=70,D12&gt;=24,E12&gt;=18,F12&gt;=14,G12&gt;=10,H12&gt;=4,I12&gt;=3),"YES","NO"))</f>
        <v/>
      </c>
    </row>
    <row r="13" customFormat="false" ht="15" hidden="false" customHeight="true" outlineLevel="0" collapsed="false">
      <c r="A13" s="3" t="s">
        <v>46</v>
      </c>
      <c r="B13" s="3" t="s">
        <v>33</v>
      </c>
      <c r="C13" s="3" t="s">
        <v>28</v>
      </c>
      <c r="D13" s="5"/>
      <c r="E13" s="5"/>
      <c r="F13" s="5"/>
      <c r="G13" s="5"/>
      <c r="H13" s="5"/>
      <c r="I13" s="5"/>
      <c r="J13" s="2" t="str">
        <f aca="false">IF(COUNT(D13:I13)=6,SUM(D13:I13),"")</f>
        <v/>
      </c>
      <c r="K13" s="2" t="str">
        <f aca="false">IF(COUNT(E13:I13)=5,SUM(E13:I13),"")</f>
        <v/>
      </c>
      <c r="L13" s="2" t="str">
        <f aca="false">IF(COUNT(D13:I13)&lt;6,"",IF(AND(J13&gt;=70,D13&gt;=24,E13&gt;=18,F13&gt;=14,G13&gt;=10,H13&gt;=4,I13&gt;=3),"YES","NO"))</f>
        <v/>
      </c>
    </row>
    <row r="15" customFormat="false" ht="15" hidden="false" customHeight="true" outlineLevel="0" collapsed="false">
      <c r="A15" s="6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7"/>
    <col collapsed="false" customWidth="true" hidden="false" outlineLevel="0" max="5" min="5" style="1" width="13"/>
    <col collapsed="false" customWidth="true" hidden="false" outlineLevel="0" max="6" min="6" style="1" width="20"/>
    <col collapsed="false" customWidth="true" hidden="false" outlineLevel="0" max="7" min="7" style="1" width="22"/>
    <col collapsed="false" customWidth="true" hidden="false" outlineLevel="0" max="8" min="8" style="1" width="45"/>
  </cols>
  <sheetData>
    <row r="1" customFormat="false" ht="26.25" hidden="false" customHeight="true" outlineLevel="0" collapsed="false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</row>
    <row r="2" customFormat="false" ht="15" hidden="false" customHeight="true" outlineLevel="0" collapsed="false">
      <c r="A2" s="7" t="s">
        <v>56</v>
      </c>
      <c r="B2" s="8" t="str">
        <f aca="false">IF(COUNT(KG_Scores!D2:D13)=0,"",AVERAGE(KG_Scores!D2:D13))</f>
        <v/>
      </c>
      <c r="C2" s="8" t="str">
        <f aca="false">IF(COUNT(KG_Scores!D2:D13)&lt;2,"",STDEV(KG_Scores!D2:D13))</f>
        <v/>
      </c>
      <c r="D2" s="8" t="n">
        <f aca="false">IF(COUNT(NoKG_Scores!D2:D7)=0,"",AVERAGE(NoKG_Scores!D2:D7))</f>
        <v>0</v>
      </c>
      <c r="E2" s="8" t="n">
        <f aca="false">IF(COUNT(NoKG_Scores!D2:D7)&lt;2,"",STDEV(NoKG_Scores!D2:D7))</f>
        <v>0</v>
      </c>
      <c r="F2" s="8" t="str">
        <f aca="false">IF(OR(COUNT(KG_Scores!D2:D13)=0,COUNT(NoKG_Scores!D2:D7)=0),"",AVERAGE(KG_Scores!D2:D13)-AVERAGE(NoKG_Scores!D2:D7))</f>
        <v/>
      </c>
      <c r="G2" s="8" t="s">
        <v>57</v>
      </c>
      <c r="H2" s="9" t="s">
        <v>58</v>
      </c>
    </row>
    <row r="3" customFormat="false" ht="15" hidden="false" customHeight="true" outlineLevel="0" collapsed="false">
      <c r="A3" s="7" t="s">
        <v>59</v>
      </c>
      <c r="B3" s="8" t="str">
        <f aca="false">IF(COUNT(KG_Scores!E2:E13)=0,"",AVERAGE(KG_Scores!E2:E13))</f>
        <v/>
      </c>
      <c r="C3" s="8" t="str">
        <f aca="false">IF(COUNT(KG_Scores!E2:E13)&lt;2,"",STDEV(KG_Scores!E2:E13))</f>
        <v/>
      </c>
      <c r="D3" s="8" t="n">
        <f aca="false">IF(COUNT(NoKG_Scores!E2:E7)=0,"",AVERAGE(NoKG_Scores!E2:E7))</f>
        <v>18.3333333333333</v>
      </c>
      <c r="E3" s="8" t="n">
        <f aca="false">IF(COUNT(NoKG_Scores!E2:E7)&lt;2,"",STDEV(NoKG_Scores!E2:E7))</f>
        <v>1.12546286774228</v>
      </c>
      <c r="F3" s="8" t="str">
        <f aca="false">IF(OR(COUNT(KG_Scores!E2:E13)=0,COUNT(NoKG_Scores!E2:E7)=0),"",AVERAGE(KG_Scores!E2:E13)-AVERAGE(NoKG_Scores!E2:E7))</f>
        <v/>
      </c>
      <c r="G3" s="8" t="str">
        <f aca="false">IF(OR(COUNT(KG_Scores!E2:E13)&lt;2,COUNT(NoKG_Scores!E2:E7)&lt;2),"",TTEST(KG_Scores!E2:E13,NoKG_Scores!E2:E7,2,3))</f>
        <v/>
      </c>
      <c r="H3" s="9"/>
    </row>
    <row r="4" customFormat="false" ht="15" hidden="false" customHeight="true" outlineLevel="0" collapsed="false">
      <c r="A4" s="7" t="s">
        <v>60</v>
      </c>
      <c r="B4" s="8" t="str">
        <f aca="false">IF(COUNT(KG_Scores!F2:F13)=0,"",AVERAGE(KG_Scores!F2:F13))</f>
        <v/>
      </c>
      <c r="C4" s="8" t="str">
        <f aca="false">IF(COUNT(KG_Scores!F2:F13)&lt;2,"",STDEV(KG_Scores!F2:F13))</f>
        <v/>
      </c>
      <c r="D4" s="8" t="n">
        <f aca="false">IF(COUNT(NoKG_Scores!F2:F7)=0,"",AVERAGE(NoKG_Scores!F2:F7))</f>
        <v>14.8333333333333</v>
      </c>
      <c r="E4" s="8" t="n">
        <f aca="false">IF(COUNT(NoKG_Scores!F2:F7)&lt;2,"",STDEV(NoKG_Scores!F2:F7))</f>
        <v>1.86189867250253</v>
      </c>
      <c r="F4" s="8" t="str">
        <f aca="false">IF(OR(COUNT(KG_Scores!F2:F13)=0,COUNT(NoKG_Scores!F2:F7)=0),"",AVERAGE(KG_Scores!F2:F13)-AVERAGE(NoKG_Scores!F2:F7))</f>
        <v/>
      </c>
      <c r="G4" s="8" t="str">
        <f aca="false">IF(OR(COUNT(KG_Scores!F2:F13)&lt;2,COUNT(NoKG_Scores!F2:F7)&lt;2),"",TTEST(KG_Scores!F2:F13,NoKG_Scores!F2:F7,2,3))</f>
        <v/>
      </c>
      <c r="H4" s="9"/>
    </row>
    <row r="5" customFormat="false" ht="15" hidden="false" customHeight="true" outlineLevel="0" collapsed="false">
      <c r="A5" s="7" t="s">
        <v>61</v>
      </c>
      <c r="B5" s="8" t="str">
        <f aca="false">IF(COUNT(KG_Scores!G2:G13)=0,"",AVERAGE(KG_Scores!G2:G13))</f>
        <v/>
      </c>
      <c r="C5" s="8" t="str">
        <f aca="false">IF(COUNT(KG_Scores!G2:G13)&lt;2,"",STDEV(KG_Scores!G2:G13))</f>
        <v/>
      </c>
      <c r="D5" s="8" t="n">
        <f aca="false">IF(COUNT(NoKG_Scores!G2:G7)=0,"",AVERAGE(NoKG_Scores!G2:G7))</f>
        <v>13.25</v>
      </c>
      <c r="E5" s="8" t="n">
        <f aca="false">IF(COUNT(NoKG_Scores!G2:G7)&lt;2,"",STDEV(NoKG_Scores!G2:G7))</f>
        <v>1.25499003980111</v>
      </c>
      <c r="F5" s="8" t="str">
        <f aca="false">IF(OR(COUNT(KG_Scores!G2:G13)=0,COUNT(NoKG_Scores!G2:G7)=0),"",AVERAGE(KG_Scores!G2:G13)-AVERAGE(NoKG_Scores!G2:G7))</f>
        <v/>
      </c>
      <c r="G5" s="8" t="str">
        <f aca="false">IF(OR(COUNT(KG_Scores!G2:G13)&lt;2,COUNT(NoKG_Scores!G2:G7)&lt;2),"",TTEST(KG_Scores!G2:G13,NoKG_Scores!G2:G7,2,3))</f>
        <v/>
      </c>
      <c r="H5" s="9"/>
    </row>
    <row r="6" customFormat="false" ht="15" hidden="false" customHeight="true" outlineLevel="0" collapsed="false">
      <c r="A6" s="7" t="s">
        <v>62</v>
      </c>
      <c r="B6" s="8" t="str">
        <f aca="false">IF(COUNT(KG_Scores!H2:H13)=0,"",AVERAGE(KG_Scores!H2:H13))</f>
        <v/>
      </c>
      <c r="C6" s="8" t="str">
        <f aca="false">IF(COUNT(KG_Scores!H2:H13)&lt;2,"",STDEV(KG_Scores!H2:H13))</f>
        <v/>
      </c>
      <c r="D6" s="8" t="n">
        <f aca="false">IF(COUNT(NoKG_Scores!H2:H7)=0,"",AVERAGE(NoKG_Scores!H2:H7))</f>
        <v>5</v>
      </c>
      <c r="E6" s="8" t="n">
        <f aca="false">IF(COUNT(NoKG_Scores!H2:H7)&lt;2,"",STDEV(NoKG_Scores!H2:H7))</f>
        <v>0</v>
      </c>
      <c r="F6" s="8" t="str">
        <f aca="false">IF(OR(COUNT(KG_Scores!H2:H13)=0,COUNT(NoKG_Scores!H2:H7)=0),"",AVERAGE(KG_Scores!H2:H13)-AVERAGE(NoKG_Scores!H2:H7))</f>
        <v/>
      </c>
      <c r="G6" s="8" t="str">
        <f aca="false">IF(OR(COUNT(KG_Scores!H2:H13)&lt;2,COUNT(NoKG_Scores!H2:H7)&lt;2),"",TTEST(KG_Scores!H2:H13,NoKG_Scores!H2:H7,2,3))</f>
        <v/>
      </c>
      <c r="H6" s="9"/>
    </row>
    <row r="7" customFormat="false" ht="15" hidden="false" customHeight="true" outlineLevel="0" collapsed="false">
      <c r="A7" s="7" t="s">
        <v>63</v>
      </c>
      <c r="B7" s="8" t="str">
        <f aca="false">IF(COUNT(KG_Scores!I2:I13)=0,"",AVERAGE(KG_Scores!I2:I13))</f>
        <v/>
      </c>
      <c r="C7" s="8" t="str">
        <f aca="false">IF(COUNT(KG_Scores!I2:I13)&lt;2,"",STDEV(KG_Scores!I2:I13))</f>
        <v/>
      </c>
      <c r="D7" s="8" t="n">
        <f aca="false">IF(COUNT(NoKG_Scores!I2:I7)=0,"",AVERAGE(NoKG_Scores!I2:I7))</f>
        <v>1.16666666666667</v>
      </c>
      <c r="E7" s="8" t="n">
        <f aca="false">IF(COUNT(NoKG_Scores!I2:I7)&lt;2,"",STDEV(NoKG_Scores!I2:I7))</f>
        <v>0.258198889747161</v>
      </c>
      <c r="F7" s="8" t="str">
        <f aca="false">IF(OR(COUNT(KG_Scores!I2:I13)=0,COUNT(NoKG_Scores!I2:I7)=0),"",AVERAGE(KG_Scores!I2:I13)-AVERAGE(NoKG_Scores!I2:I7))</f>
        <v/>
      </c>
      <c r="G7" s="8" t="str">
        <f aca="false">IF(OR(COUNT(KG_Scores!I2:I13)&lt;2,COUNT(NoKG_Scores!I2:I7)&lt;2),"",TTEST(KG_Scores!I2:I13,NoKG_Scores!I2:I7,2,3))</f>
        <v/>
      </c>
      <c r="H7" s="9"/>
    </row>
    <row r="8" customFormat="false" ht="15" hidden="false" customHeight="true" outlineLevel="0" collapsed="false">
      <c r="A8" s="7" t="s">
        <v>21</v>
      </c>
      <c r="B8" s="8" t="str">
        <f aca="false">IF(COUNT(KG_Scores!J2:J13)=0,"",AVERAGE(KG_Scores!J2:J13))</f>
        <v/>
      </c>
      <c r="C8" s="8" t="str">
        <f aca="false">IF(COUNT(KG_Scores!J2:J13)&lt;2,"",STDEV(KG_Scores!J2:J13))</f>
        <v/>
      </c>
      <c r="D8" s="8" t="n">
        <f aca="false">IF(COUNT(NoKG_Scores!J2:J7)=0,"",AVERAGE(NoKG_Scores!J2:J7))</f>
        <v>52.5833333333333</v>
      </c>
      <c r="E8" s="8" t="n">
        <f aca="false">IF(COUNT(NoKG_Scores!J2:J7)&lt;2,"",STDEV(NoKG_Scores!J2:J7))</f>
        <v>3.90405771815257</v>
      </c>
      <c r="F8" s="8" t="str">
        <f aca="false">IF(OR(COUNT(KG_Scores!J2:J13)=0,COUNT(NoKG_Scores!J2:J7)=0),"",AVERAGE(KG_Scores!J2:J13)-AVERAGE(NoKG_Scores!J2:J7))</f>
        <v/>
      </c>
      <c r="G8" s="8" t="str">
        <f aca="false">IF(OR(COUNT(KG_Scores!J2:J13)&lt;2,COUNT(NoKG_Scores!J2:J7)&lt;2),"",TTEST(KG_Scores!J2:J13,NoKG_Scores!J2:J7,2,3))</f>
        <v/>
      </c>
      <c r="H8" s="9" t="s">
        <v>64</v>
      </c>
    </row>
    <row r="9" customFormat="false" ht="15" hidden="false" customHeight="true" outlineLevel="0" collapsed="false">
      <c r="A9" s="7" t="s">
        <v>65</v>
      </c>
      <c r="B9" s="8" t="str">
        <f aca="false">IF(COUNT(KG_Scores!K2:K13)=0,"",AVERAGE(KG_Scores!K2:K13))</f>
        <v/>
      </c>
      <c r="C9" s="8" t="str">
        <f aca="false">IF(COUNT(KG_Scores!K2:K13)&lt;2,"",STDEV(KG_Scores!K2:K13))</f>
        <v/>
      </c>
      <c r="D9" s="8" t="n">
        <f aca="false">IF(COUNT(NoKG_Scores!K2:K7)=0,"",AVERAGE(NoKG_Scores!K2:K7))</f>
        <v>52.5833333333333</v>
      </c>
      <c r="E9" s="8" t="n">
        <f aca="false">IF(COUNT(NoKG_Scores!K2:K7)&lt;2,"",STDEV(NoKG_Scores!K2:K7))</f>
        <v>3.90405771815257</v>
      </c>
      <c r="F9" s="8" t="str">
        <f aca="false">IF(OR(COUNT(KG_Scores!K2:K13)=0,COUNT(NoKG_Scores!K2:K7)=0),"",AVERAGE(KG_Scores!K2:K13)-AVERAGE(NoKG_Scores!K2:K7))</f>
        <v/>
      </c>
      <c r="G9" s="8" t="str">
        <f aca="false">IF(OR(COUNT(KG_Scores!K2:K13)&lt;2,COUNT(NoKG_Scores!K2:K7)&lt;2),"",TTEST(KG_Scores!K2:K13,NoKG_Scores!K2:K7,2,3))</f>
        <v/>
      </c>
      <c r="H9" s="9" t="s">
        <v>66</v>
      </c>
    </row>
    <row r="11" customFormat="false" ht="15" hidden="false" customHeight="true" outlineLevel="0" collapsed="false">
      <c r="A11" s="2" t="s">
        <v>67</v>
      </c>
      <c r="B11" s="3" t="n">
        <f aca="false">COUNTIF(KG_Scores!L2:L13,"YES")</f>
        <v>0</v>
      </c>
    </row>
    <row r="12" customFormat="false" ht="15" hidden="false" customHeight="true" outlineLevel="0" collapsed="false">
      <c r="A12" s="2" t="s">
        <v>68</v>
      </c>
      <c r="B12" s="3" t="n">
        <f aca="false">COUNTIF(NoKG_Scores!L2:L7,"YES")</f>
        <v>0</v>
      </c>
    </row>
    <row r="14" customFormat="false" ht="15" hidden="false" customHeight="true" outlineLevel="0" collapsed="false">
      <c r="A14" s="6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2026-07-13T17:37:02Z</dcterms:created>
  <dc:creator>openpyxl</dc:creator>
  <dc:description/>
  <dc:language>en-US</dc:language>
  <cp:lastModifiedBy/>
  <dcterms:modified xsi:type="dcterms:W3CDTF">2026-07-18T10:31:32Z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