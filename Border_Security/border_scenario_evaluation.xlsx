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Evaluation" sheetId="1" state="visible" r:id="rId3"/>
    <sheet name="Type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<sst xmlns="http://schemas.openxmlformats.org/spreadsheetml/2006/main" count="79" uniqueCount="49">
  <si>
    <t xml:space="preserve">Border Security Scenario Portfolio - Detailed Evaluation Results</t>
  </si>
  <si>
    <t xml:space="preserve">Scenario ID</t>
  </si>
  <si>
    <t xml:space="preserve">Type</t>
  </si>
  <si>
    <t xml:space="preserve">D1: KG Grounding (30)</t>
  </si>
  <si>
    <t xml:space="preserve">D2: Pedagogy (25)</t>
  </si>
  <si>
    <t xml:space="preserve">D3: Realism (20)</t>
  </si>
  <si>
    <t xml:space="preserve">D4: Complexity (15)</t>
  </si>
  <si>
    <t xml:space="preserve">D5: Structure (5)</t>
  </si>
  <si>
    <t xml:space="preserve">D6: Usability (5)</t>
  </si>
  <si>
    <t xml:space="preserve">TOTAL (100)</t>
  </si>
  <si>
    <t xml:space="preserve">Percentage</t>
  </si>
  <si>
    <t xml:space="preserve">Grade</t>
  </si>
  <si>
    <t xml:space="preserve">Rank</t>
  </si>
  <si>
    <t xml:space="preserve">Notes</t>
  </si>
  <si>
    <t xml:space="preserve">1.1</t>
  </si>
  <si>
    <t xml:space="preserve">Decision-Making</t>
  </si>
  <si>
    <t xml:space="preserve">High Quality</t>
  </si>
  <si>
    <t xml:space="preserve">14/14 sections, 2 DPs, 3 queries</t>
  </si>
  <si>
    <t xml:space="preserve">1.2</t>
  </si>
  <si>
    <t xml:space="preserve">2.1</t>
  </si>
  <si>
    <t xml:space="preserve">Risk Management</t>
  </si>
  <si>
    <t xml:space="preserve">2.2</t>
  </si>
  <si>
    <t xml:space="preserve">3.1</t>
  </si>
  <si>
    <t xml:space="preserve">Resource Optimization</t>
  </si>
  <si>
    <t xml:space="preserve">Acceptable</t>
  </si>
  <si>
    <t xml:space="preserve">3.2</t>
  </si>
  <si>
    <t xml:space="preserve">4.1</t>
  </si>
  <si>
    <t xml:space="preserve">Team Coordination</t>
  </si>
  <si>
    <t xml:space="preserve">4.2</t>
  </si>
  <si>
    <t xml:space="preserve">5.1</t>
  </si>
  <si>
    <t xml:space="preserve">Ethical Decision</t>
  </si>
  <si>
    <t xml:space="preserve">5.2</t>
  </si>
  <si>
    <t xml:space="preserve">Portfolio Statistics</t>
  </si>
  <si>
    <t xml:space="preserve">Mean Score</t>
  </si>
  <si>
    <t xml:space="preserve">Median Score</t>
  </si>
  <si>
    <t xml:space="preserve">Std Deviation</t>
  </si>
  <si>
    <t xml:space="preserve">Min Score</t>
  </si>
  <si>
    <t xml:space="preserve">Max Score</t>
  </si>
  <si>
    <t xml:space="preserve">Dimension Averages</t>
  </si>
  <si>
    <t xml:space="preserve">D1: KG Grounding (avg)</t>
  </si>
  <si>
    <t xml:space="preserve">D2: Pedagogical Quality (avg)</t>
  </si>
  <si>
    <t xml:space="preserve">D3: Operational Realism (avg)</t>
  </si>
  <si>
    <t xml:space="preserve">D4: Decision Complexity (avg)</t>
  </si>
  <si>
    <t xml:space="preserve">D5: Structural Completeness (avg)</t>
  </si>
  <si>
    <t xml:space="preserve">D6: Facilitator Support (avg)</t>
  </si>
  <si>
    <t xml:space="preserve">Scenario Type Performance Analysis</t>
  </si>
  <si>
    <t xml:space="preserve">Scenario Type</t>
  </si>
  <si>
    <t xml:space="preserve">Count</t>
  </si>
  <si>
    <t xml:space="preserve">Std Dev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</si>
</sst>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E7E6E6"/>
      </patternFill>
    </fill>
    <fill>
      <patternFill patternType="solid">
        <fgColor rgb="FFFFC7CE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3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15" hidden="false" customHeight="false" outlineLevel="0" collapsed="false">
      <c r="A4" s="3" t="s">
        <v>14</v>
      </c>
      <c r="B4" s="3" t="s">
        <v>15</v>
      </c>
      <c r="C4" s="3" t="n">
        <v>26</v>
      </c>
      <c r="D4" s="3" t="n">
        <v>22</v>
      </c>
      <c r="E4" s="3" t="n">
        <v>17</v>
      </c>
      <c r="F4" s="3" t="n">
        <v>12</v>
      </c>
      <c r="G4" s="3" t="n">
        <v>5</v>
      </c>
      <c r="H4" s="3" t="n">
        <v>4</v>
      </c>
      <c r="I4" s="3" t="n">
        <v>86</v>
      </c>
      <c r="J4" s="4" t="n">
        <v>0.86</v>
      </c>
      <c r="K4" s="3" t="s">
        <v>16</v>
      </c>
      <c r="L4" s="3" t="n">
        <f aca="false">RANK(I4,I$4:I$13,0)</f>
        <v>2</v>
      </c>
      <c r="M4" s="3" t="s">
        <v>17</v>
      </c>
    </row>
    <row r="5" customFormat="false" ht="15" hidden="false" customHeight="false" outlineLevel="0" collapsed="false">
      <c r="A5" s="3" t="s">
        <v>18</v>
      </c>
      <c r="B5" s="3" t="s">
        <v>15</v>
      </c>
      <c r="C5" s="3" t="n">
        <v>27</v>
      </c>
      <c r="D5" s="3" t="n">
        <v>21</v>
      </c>
      <c r="E5" s="3" t="n">
        <v>17</v>
      </c>
      <c r="F5" s="3" t="n">
        <v>12</v>
      </c>
      <c r="G5" s="3" t="n">
        <v>5</v>
      </c>
      <c r="H5" s="3" t="n">
        <v>4</v>
      </c>
      <c r="I5" s="3" t="n">
        <v>86</v>
      </c>
      <c r="J5" s="4" t="n">
        <v>0.86</v>
      </c>
      <c r="K5" s="3" t="s">
        <v>16</v>
      </c>
      <c r="L5" s="3" t="n">
        <f aca="false">RANK(I5,I$4:I$13,0)</f>
        <v>2</v>
      </c>
      <c r="M5" s="3" t="s">
        <v>17</v>
      </c>
    </row>
    <row r="6" customFormat="false" ht="15" hidden="false" customHeight="false" outlineLevel="0" collapsed="false">
      <c r="A6" s="5" t="s">
        <v>19</v>
      </c>
      <c r="B6" s="5" t="s">
        <v>20</v>
      </c>
      <c r="C6" s="5" t="n">
        <v>25</v>
      </c>
      <c r="D6" s="5" t="n">
        <v>20</v>
      </c>
      <c r="E6" s="5" t="n">
        <v>18</v>
      </c>
      <c r="F6" s="5" t="n">
        <v>12</v>
      </c>
      <c r="G6" s="5" t="n">
        <v>5</v>
      </c>
      <c r="H6" s="5" t="n">
        <v>4</v>
      </c>
      <c r="I6" s="5" t="n">
        <v>84</v>
      </c>
      <c r="J6" s="6" t="n">
        <v>0.84</v>
      </c>
      <c r="K6" s="5" t="s">
        <v>16</v>
      </c>
      <c r="L6" s="5" t="n">
        <f aca="false">RANK(I6,I$4:I$13,0)</f>
        <v>5</v>
      </c>
      <c r="M6" s="5" t="s">
        <v>17</v>
      </c>
    </row>
    <row r="7" customFormat="false" ht="15" hidden="false" customHeight="false" outlineLevel="0" collapsed="false">
      <c r="A7" s="5" t="s">
        <v>21</v>
      </c>
      <c r="B7" s="5" t="s">
        <v>20</v>
      </c>
      <c r="C7" s="5" t="n">
        <v>26</v>
      </c>
      <c r="D7" s="5" t="n">
        <v>20</v>
      </c>
      <c r="E7" s="5" t="n">
        <v>17</v>
      </c>
      <c r="F7" s="5" t="n">
        <v>12</v>
      </c>
      <c r="G7" s="5" t="n">
        <v>5</v>
      </c>
      <c r="H7" s="5" t="n">
        <v>4</v>
      </c>
      <c r="I7" s="5" t="n">
        <v>84</v>
      </c>
      <c r="J7" s="6" t="n">
        <v>0.84</v>
      </c>
      <c r="K7" s="5" t="s">
        <v>16</v>
      </c>
      <c r="L7" s="5" t="n">
        <f aca="false">RANK(I7,I$4:I$13,0)</f>
        <v>5</v>
      </c>
      <c r="M7" s="5" t="s">
        <v>17</v>
      </c>
    </row>
    <row r="8" customFormat="false" ht="15" hidden="false" customHeight="false" outlineLevel="0" collapsed="false">
      <c r="A8" s="5" t="s">
        <v>22</v>
      </c>
      <c r="B8" s="5" t="s">
        <v>23</v>
      </c>
      <c r="C8" s="5" t="n">
        <v>23</v>
      </c>
      <c r="D8" s="5" t="n">
        <v>18</v>
      </c>
      <c r="E8" s="5" t="n">
        <v>16</v>
      </c>
      <c r="F8" s="5" t="n">
        <v>10</v>
      </c>
      <c r="G8" s="5" t="n">
        <v>5</v>
      </c>
      <c r="H8" s="5" t="n">
        <v>3</v>
      </c>
      <c r="I8" s="5" t="n">
        <v>75</v>
      </c>
      <c r="J8" s="6" t="n">
        <v>0.75</v>
      </c>
      <c r="K8" s="5" t="s">
        <v>24</v>
      </c>
      <c r="L8" s="5" t="n">
        <f aca="false">RANK(I8,I$4:I$13,0)</f>
        <v>9</v>
      </c>
      <c r="M8" s="5" t="s">
        <v>17</v>
      </c>
    </row>
    <row r="9" customFormat="false" ht="15" hidden="false" customHeight="false" outlineLevel="0" collapsed="false">
      <c r="A9" s="5" t="s">
        <v>25</v>
      </c>
      <c r="B9" s="5" t="s">
        <v>23</v>
      </c>
      <c r="C9" s="5" t="n">
        <v>24</v>
      </c>
      <c r="D9" s="5" t="n">
        <v>17</v>
      </c>
      <c r="E9" s="5" t="n">
        <v>16</v>
      </c>
      <c r="F9" s="5" t="n">
        <v>11</v>
      </c>
      <c r="G9" s="5" t="n">
        <v>5</v>
      </c>
      <c r="H9" s="5" t="n">
        <v>3</v>
      </c>
      <c r="I9" s="5" t="n">
        <v>76</v>
      </c>
      <c r="J9" s="6" t="n">
        <v>0.76</v>
      </c>
      <c r="K9" s="5" t="s">
        <v>24</v>
      </c>
      <c r="L9" s="5" t="n">
        <f aca="false">RANK(I9,I$4:I$13,0)</f>
        <v>8</v>
      </c>
      <c r="M9" s="5" t="s">
        <v>17</v>
      </c>
    </row>
    <row r="10" customFormat="false" ht="15" hidden="false" customHeight="false" outlineLevel="0" collapsed="false">
      <c r="A10" s="3" t="s">
        <v>26</v>
      </c>
      <c r="B10" s="3" t="s">
        <v>27</v>
      </c>
      <c r="C10" s="3" t="n">
        <v>27</v>
      </c>
      <c r="D10" s="3" t="n">
        <v>20</v>
      </c>
      <c r="E10" s="3" t="n">
        <v>17</v>
      </c>
      <c r="F10" s="3" t="n">
        <v>12</v>
      </c>
      <c r="G10" s="3" t="n">
        <v>5</v>
      </c>
      <c r="H10" s="3" t="n">
        <v>4</v>
      </c>
      <c r="I10" s="3" t="n">
        <v>85</v>
      </c>
      <c r="J10" s="4" t="n">
        <v>0.85</v>
      </c>
      <c r="K10" s="3" t="s">
        <v>16</v>
      </c>
      <c r="L10" s="3" t="n">
        <f aca="false">RANK(I10,I$4:I$13,0)</f>
        <v>4</v>
      </c>
      <c r="M10" s="3" t="s">
        <v>17</v>
      </c>
    </row>
    <row r="11" customFormat="false" ht="15" hidden="false" customHeight="false" outlineLevel="0" collapsed="false">
      <c r="A11" s="7" t="s">
        <v>28</v>
      </c>
      <c r="B11" s="7" t="s">
        <v>27</v>
      </c>
      <c r="C11" s="7" t="n">
        <v>22</v>
      </c>
      <c r="D11" s="7" t="n">
        <v>17</v>
      </c>
      <c r="E11" s="7" t="n">
        <v>16</v>
      </c>
      <c r="F11" s="7" t="n">
        <v>11</v>
      </c>
      <c r="G11" s="7" t="n">
        <v>5</v>
      </c>
      <c r="H11" s="7" t="n">
        <v>3</v>
      </c>
      <c r="I11" s="7" t="n">
        <v>74</v>
      </c>
      <c r="J11" s="8" t="n">
        <v>0.74</v>
      </c>
      <c r="K11" s="7" t="s">
        <v>24</v>
      </c>
      <c r="L11" s="7" t="n">
        <f aca="false">RANK(I11,I$4:I$13,0)</f>
        <v>10</v>
      </c>
      <c r="M11" s="7" t="s">
        <v>17</v>
      </c>
    </row>
    <row r="12" customFormat="false" ht="15" hidden="false" customHeight="false" outlineLevel="0" collapsed="false">
      <c r="A12" s="3" t="s">
        <v>29</v>
      </c>
      <c r="B12" s="3" t="s">
        <v>30</v>
      </c>
      <c r="C12" s="3" t="n">
        <v>26</v>
      </c>
      <c r="D12" s="3" t="n">
        <v>21</v>
      </c>
      <c r="E12" s="3" t="n">
        <v>18</v>
      </c>
      <c r="F12" s="3" t="n">
        <v>13</v>
      </c>
      <c r="G12" s="3" t="n">
        <v>5</v>
      </c>
      <c r="H12" s="3" t="n">
        <v>4</v>
      </c>
      <c r="I12" s="3" t="n">
        <v>87</v>
      </c>
      <c r="J12" s="4" t="n">
        <v>0.87</v>
      </c>
      <c r="K12" s="3" t="s">
        <v>16</v>
      </c>
      <c r="L12" s="3" t="n">
        <f aca="false">RANK(I12,I$4:I$13,0)</f>
        <v>1</v>
      </c>
      <c r="M12" s="3" t="s">
        <v>17</v>
      </c>
    </row>
    <row r="13" customFormat="false" ht="15" hidden="false" customHeight="false" outlineLevel="0" collapsed="false">
      <c r="A13" s="5" t="s">
        <v>31</v>
      </c>
      <c r="B13" s="5" t="s">
        <v>30</v>
      </c>
      <c r="C13" s="5" t="n">
        <v>25</v>
      </c>
      <c r="D13" s="5" t="n">
        <v>20</v>
      </c>
      <c r="E13" s="5" t="n">
        <v>17</v>
      </c>
      <c r="F13" s="5" t="n">
        <v>12</v>
      </c>
      <c r="G13" s="5" t="n">
        <v>5</v>
      </c>
      <c r="H13" s="5" t="n">
        <v>4</v>
      </c>
      <c r="I13" s="5" t="n">
        <v>83</v>
      </c>
      <c r="J13" s="6" t="n">
        <v>0.83</v>
      </c>
      <c r="K13" s="5" t="s">
        <v>16</v>
      </c>
      <c r="L13" s="5" t="n">
        <f aca="false">RANK(I13,I$4:I$13,0)</f>
        <v>7</v>
      </c>
      <c r="M13" s="5" t="s">
        <v>17</v>
      </c>
    </row>
    <row r="15" customFormat="false" ht="15" hidden="false" customHeight="false" outlineLevel="0" collapsed="false">
      <c r="A15" s="0" t="s">
        <v>32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10" t="s">
        <v>33</v>
      </c>
      <c r="B17" s="11" t="n">
        <f aca="false">AVERAGE(I4:I13)</f>
        <v>82</v>
      </c>
    </row>
    <row r="18" customFormat="false" ht="15" hidden="false" customHeight="false" outlineLevel="0" collapsed="false">
      <c r="A18" s="10" t="s">
        <v>34</v>
      </c>
      <c r="B18" s="11" t="n">
        <f aca="false">MEDIAN(I4:I13)</f>
        <v>84</v>
      </c>
    </row>
    <row r="19" customFormat="false" ht="15" hidden="false" customHeight="false" outlineLevel="0" collapsed="false">
      <c r="A19" s="10" t="s">
        <v>35</v>
      </c>
      <c r="B19" s="11" t="n">
        <f aca="false">STDEV(I4:I13)</f>
        <v>4.98887651569859</v>
      </c>
    </row>
    <row r="20" customFormat="false" ht="15" hidden="false" customHeight="false" outlineLevel="0" collapsed="false">
      <c r="A20" s="10" t="s">
        <v>36</v>
      </c>
      <c r="B20" s="11" t="n">
        <f aca="false">MIN(I4:I13)</f>
        <v>74</v>
      </c>
    </row>
    <row r="21" customFormat="false" ht="15" hidden="false" customHeight="false" outlineLevel="0" collapsed="false">
      <c r="A21" s="10" t="s">
        <v>37</v>
      </c>
      <c r="B21" s="11" t="n">
        <f aca="false">MAX(I4:I13)</f>
        <v>87</v>
      </c>
    </row>
    <row r="22" customFormat="false" ht="15" hidden="false" customHeight="false" outlineLevel="0" collapsed="false">
      <c r="A22" s="10"/>
    </row>
    <row r="23" customFormat="false" ht="15" hidden="false" customHeight="false" outlineLevel="0" collapsed="false">
      <c r="A23" s="10" t="s">
        <v>38</v>
      </c>
      <c r="C23" s="12"/>
    </row>
    <row r="24" customFormat="false" ht="15" hidden="false" customHeight="false" outlineLevel="0" collapsed="false">
      <c r="A24" s="10" t="s">
        <v>39</v>
      </c>
      <c r="B24" s="11" t="n">
        <f aca="false">AVERAGE(C4:C13)</f>
        <v>25.1</v>
      </c>
      <c r="C24" s="12" t="n">
        <f aca="false">AVERAGE(C4:C13)/30</f>
        <v>0.836666666666667</v>
      </c>
    </row>
    <row r="25" customFormat="false" ht="15" hidden="false" customHeight="false" outlineLevel="0" collapsed="false">
      <c r="A25" s="10" t="s">
        <v>40</v>
      </c>
      <c r="B25" s="11" t="n">
        <f aca="false">AVERAGE(D4:D13)</f>
        <v>19.6</v>
      </c>
      <c r="C25" s="12" t="n">
        <f aca="false">AVERAGE(D4:D13)/25</f>
        <v>0.784</v>
      </c>
    </row>
    <row r="26" customFormat="false" ht="15" hidden="false" customHeight="false" outlineLevel="0" collapsed="false">
      <c r="A26" s="10" t="s">
        <v>41</v>
      </c>
      <c r="B26" s="11" t="n">
        <f aca="false">AVERAGE(E4:E13)</f>
        <v>16.9</v>
      </c>
      <c r="C26" s="12" t="n">
        <f aca="false">AVERAGE(E4:E13)/20</f>
        <v>0.845</v>
      </c>
    </row>
    <row r="27" customFormat="false" ht="15" hidden="false" customHeight="false" outlineLevel="0" collapsed="false">
      <c r="A27" s="10" t="s">
        <v>42</v>
      </c>
      <c r="B27" s="11" t="n">
        <f aca="false">AVERAGE(F4:F13)</f>
        <v>11.7</v>
      </c>
      <c r="C27" s="12" t="n">
        <f aca="false">AVERAGE(F4:F13)/15</f>
        <v>0.78</v>
      </c>
    </row>
    <row r="28" customFormat="false" ht="15" hidden="false" customHeight="false" outlineLevel="0" collapsed="false">
      <c r="A28" s="10" t="s">
        <v>43</v>
      </c>
      <c r="B28" s="11" t="n">
        <f aca="false">AVERAGE(G4:G13)</f>
        <v>5</v>
      </c>
      <c r="C28" s="12" t="n">
        <f aca="false">AVERAGE(G4:G13)/5</f>
        <v>1</v>
      </c>
    </row>
    <row r="29" customFormat="false" ht="15" hidden="false" customHeight="false" outlineLevel="0" collapsed="false">
      <c r="A29" s="0" t="s">
        <v>44</v>
      </c>
      <c r="B29" s="0" t="n">
        <f aca="false">AVERAGE(H4:H13)</f>
        <v>3.7</v>
      </c>
      <c r="C29" s="0" t="n">
        <f aca="false">AVERAGE(H4:H13)/5</f>
        <v>0.74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3" t="s">
        <v>45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14" t="s">
        <v>46</v>
      </c>
      <c r="B3" s="14" t="s">
        <v>47</v>
      </c>
      <c r="C3" s="14" t="s">
        <v>33</v>
      </c>
      <c r="D3" s="14" t="s">
        <v>36</v>
      </c>
      <c r="E3" s="14" t="s">
        <v>37</v>
      </c>
      <c r="F3" s="14" t="s">
        <v>48</v>
      </c>
    </row>
    <row r="4" customFormat="false" ht="15" hidden="false" customHeight="false" outlineLevel="0" collapsed="false">
      <c r="A4" s="0" t="s">
        <v>15</v>
      </c>
      <c r="B4" s="0" t="n">
        <v>2</v>
      </c>
      <c r="C4" s="15" t="n">
        <v>86</v>
      </c>
      <c r="D4" s="15" t="n">
        <v>86</v>
      </c>
      <c r="E4" s="15" t="n">
        <v>86</v>
      </c>
      <c r="F4" s="15" t="n">
        <v>0</v>
      </c>
    </row>
    <row r="5" customFormat="false" ht="15" hidden="false" customHeight="false" outlineLevel="0" collapsed="false">
      <c r="A5" s="0" t="s">
        <v>20</v>
      </c>
      <c r="B5" s="0" t="n">
        <v>2</v>
      </c>
      <c r="C5" s="15" t="n">
        <v>84</v>
      </c>
      <c r="D5" s="15" t="n">
        <v>84</v>
      </c>
      <c r="E5" s="15" t="n">
        <v>84</v>
      </c>
      <c r="F5" s="15" t="n">
        <v>0</v>
      </c>
    </row>
    <row r="6" customFormat="false" ht="15" hidden="false" customHeight="false" outlineLevel="0" collapsed="false">
      <c r="A6" s="0" t="s">
        <v>23</v>
      </c>
      <c r="B6" s="0" t="n">
        <v>2</v>
      </c>
      <c r="C6" s="15" t="n">
        <v>75.5</v>
      </c>
      <c r="D6" s="15" t="n">
        <v>75</v>
      </c>
      <c r="E6" s="15" t="n">
        <v>76</v>
      </c>
      <c r="F6" s="15" t="n">
        <v>0.5</v>
      </c>
    </row>
    <row r="7" customFormat="false" ht="15" hidden="false" customHeight="false" outlineLevel="0" collapsed="false">
      <c r="A7" s="0" t="s">
        <v>27</v>
      </c>
      <c r="B7" s="0" t="n">
        <v>2</v>
      </c>
      <c r="C7" s="15" t="n">
        <v>79.5</v>
      </c>
      <c r="D7" s="15" t="n">
        <v>74</v>
      </c>
      <c r="E7" s="15" t="n">
        <v>85</v>
      </c>
      <c r="F7" s="15" t="n">
        <v>5.5</v>
      </c>
    </row>
    <row r="8" customFormat="false" ht="15" hidden="false" customHeight="false" outlineLevel="0" collapsed="false">
      <c r="A8" s="0" t="s">
        <v>30</v>
      </c>
      <c r="B8" s="0" t="n">
        <v>2</v>
      </c>
      <c r="C8" s="15" t="n">
        <v>85</v>
      </c>
      <c r="D8" s="15" t="n">
        <v>83</v>
      </c>
      <c r="E8" s="15" t="n">
        <v>87</v>
      </c>
      <c r="F8" s="15" t="n">
        <v>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2026-01-22T12:20:33Z</dcterms:created>
  <dc:creator>openpyxl</dc:creator>
  <dc:description/>
  <dc:language>en-US</dc:language>
  <cp:lastModifiedBy/>
  <dcterms:modified xsi:type="dcterms:W3CDTF">2026-01-22T12:20:33Z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